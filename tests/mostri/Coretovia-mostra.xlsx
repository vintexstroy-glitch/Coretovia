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Профил" state="visible" r:id="rId4"/>
    <sheet sheetId="2" name="ИмотиОбектиБизнеси" state="visible" r:id="rId5"/>
    <sheet sheetId="3" name="УправлениеДелаПреписки" state="visible" r:id="rId6"/>
    <sheet sheetId="4" name="Сметки" state="visible" r:id="rId7"/>
    <sheet sheetId="5" name="Служители" state="visible" r:id="rId8"/>
    <sheet sheetId="6" name="Продажби" state="visible" r:id="rId9"/>
    <sheet sheetId="7" name="ИИ" state="visible" r:id="rId10"/>
    <sheet sheetId="8" name="Настройки(Стопанин)" state="visible" r:id="rId11"/>
  </sheets>
  <calcPr calcId="171027"/>
</workbook>
</file>

<file path=xl/sharedStrings.xml><?xml version="1.0" encoding="utf-8"?>
<sst xmlns="http://schemas.openxmlformats.org/spreadsheetml/2006/main" count="809" uniqueCount="347">
  <si>
    <t>Лични Данни(Кой съм) и План(Пробване)</t>
  </si>
  <si>
    <t>Име</t>
  </si>
  <si>
    <t>Имейл</t>
  </si>
  <si>
    <t>телефон</t>
  </si>
  <si>
    <t>адрес</t>
  </si>
  <si>
    <t>длъжност</t>
  </si>
  <si>
    <t>Личен Изглед (Твои Изгледи,Менюто) Тук изгледа иска да направи общо за всички от стопанина, но с падащи менюта за вкараните хедъри за всеки таб, където от тези хедъри за всеки таб може само някой колони от хедъри да скриеш за останалите или за ролите от тук, само за Стопанина. За служителите от избора на хедърите които вижда може да размести колони или да ги скрие., само за личния профил за десктоп и телефон заедно.</t>
  </si>
  <si>
    <t>Личен Таб (Драйвът и планът) Тук се иска достъп до личния драйв на служителя, отделно от служебния драйв. В този драйв се пази журнаала и информацията която се ползва и работи в личния журнал без да се бърка с служебния. Два отделни журнала стартирата. Служебния и личния.</t>
  </si>
  <si>
    <t xml:space="preserve"> Личните настройки и Семейните Настройки от стария проект като идея се обединяват в новия проект и новата среда среда и нова подобрена функционалност и се настройват към нея в новия таб Лични Настройки към Тан Профил. </t>
  </si>
  <si>
    <t>1</t>
  </si>
  <si>
    <t>Има един бутон /Създай имот/. Създай Имот вкарва имотите в списък в таблица с данните  за имота.</t>
  </si>
  <si>
    <t>2</t>
  </si>
  <si>
    <t>Има Състояние за Имот и може да се добавят и редактират и прехват от секция Номенклатура при Настройки на Стопанина</t>
  </si>
  <si>
    <t>Имоти</t>
  </si>
  <si>
    <t>име Имот</t>
  </si>
  <si>
    <t>Състояние</t>
  </si>
  <si>
    <t>№</t>
  </si>
  <si>
    <t>площ</t>
  </si>
  <si>
    <t>цена</t>
  </si>
  <si>
    <t>папка в драйва</t>
  </si>
  <si>
    <t>адрес гугъл</t>
  </si>
  <si>
    <t>Герман</t>
  </si>
  <si>
    <t>ПИ (Поземлен Имот)</t>
  </si>
  <si>
    <t xml:space="preserve">Гара Яна </t>
  </si>
  <si>
    <t>УПИ (Урегулиран Поземлен Имот)</t>
  </si>
  <si>
    <t>3</t>
  </si>
  <si>
    <t>Студентски Град</t>
  </si>
  <si>
    <t>УПИ</t>
  </si>
  <si>
    <t>4</t>
  </si>
  <si>
    <t>Панчарево</t>
  </si>
  <si>
    <t>5</t>
  </si>
  <si>
    <t>С.Г. БАРИЕРА</t>
  </si>
  <si>
    <t>ПИ</t>
  </si>
  <si>
    <t xml:space="preserve">Има бутон /Добави Обект/ там избираш от падащо меню добавените Имоти и допълваш данни за обекта. </t>
  </si>
  <si>
    <t>Има Състояние за Имот и Състояние за Обект. Двете да могат да се добавят и редактират и прехват от секция Номенклатура при Настройки на Стопанина</t>
  </si>
  <si>
    <t xml:space="preserve">Сграда( статут сграда отваря възможност за голямо дело в но в тап с таблица и диаграма и функционалностите които има в Управление и Сметки, но само за Сградата. Сградата позволява да се вкарат обектите от таблица за площообразуване от тук, а не от калкулатор. Само от тук се зареждат обекти и Имоти, само от тази секция и таб. Така участват като суровина за Имота и като създадени и произведени Обекти в всеки Имот. Когато се вкара Имот или Обект  в всички полета на останалите таблици ив другите табове се появяват само като избор от падащи менюта като избор. Имот или Имот с всички обекти като под редове на Имота вече са съществуващи обекти, които се добавят дела както за Имотите така и за Обектите. с под дела за всяко дело. Когато искаш много поддела и клони се прави Сграда статут и тя отключва добавянето на нов таб за Сградата където се зарежда КСС и Линеен график за да се зареди Голмото дело. </t>
  </si>
  <si>
    <t>Обекти добавени към Имоти</t>
  </si>
  <si>
    <t>адрес в гугъл карти</t>
  </si>
  <si>
    <t>2.1</t>
  </si>
  <si>
    <t>Сграда</t>
  </si>
  <si>
    <t>2.1.4.1</t>
  </si>
  <si>
    <t>Склад</t>
  </si>
  <si>
    <t>2.1.4.2</t>
  </si>
  <si>
    <t>2.1.4.3</t>
  </si>
  <si>
    <t>2.1.4.4</t>
  </si>
  <si>
    <t>3.1</t>
  </si>
  <si>
    <t>3.1.1.1</t>
  </si>
  <si>
    <t>апартамент</t>
  </si>
  <si>
    <t>3.1.1.27</t>
  </si>
  <si>
    <t>3.1.2.8</t>
  </si>
  <si>
    <t>гараж</t>
  </si>
  <si>
    <t>3.1.2.20</t>
  </si>
  <si>
    <t>3.1.2.23</t>
  </si>
  <si>
    <t>3.1.3.1</t>
  </si>
  <si>
    <t>офис</t>
  </si>
  <si>
    <t>3.1.3.2</t>
  </si>
  <si>
    <t>3.1.3.3</t>
  </si>
  <si>
    <t>3.1.3.4</t>
  </si>
  <si>
    <t>3.1.3.5</t>
  </si>
  <si>
    <t>3.1.3.6</t>
  </si>
  <si>
    <t>3.2</t>
  </si>
  <si>
    <t>Паркинг</t>
  </si>
  <si>
    <t>3.2.1.11</t>
  </si>
  <si>
    <t>НПМ(Наземно Парко Място)</t>
  </si>
  <si>
    <t>3.2.1.13</t>
  </si>
  <si>
    <t>НПМ</t>
  </si>
  <si>
    <t>3.2.1.18</t>
  </si>
  <si>
    <t>3.2.1.20</t>
  </si>
  <si>
    <t>3.2.1.22</t>
  </si>
  <si>
    <t>3.2.1.23</t>
  </si>
  <si>
    <t>5.2</t>
  </si>
  <si>
    <t>5.1.1.1</t>
  </si>
  <si>
    <t>5.1.1.2</t>
  </si>
  <si>
    <t>5.1.1.3</t>
  </si>
  <si>
    <t>5.1.1.4</t>
  </si>
  <si>
    <t>5.1.1.5</t>
  </si>
  <si>
    <t>5.1.1.6</t>
  </si>
  <si>
    <t>5.1.1.7</t>
  </si>
  <si>
    <t xml:space="preserve">Има бутон /Добави Бизнес/ там избираш от падащо меню от добавените Имоти и допълваш данни за Бизнеса. </t>
  </si>
  <si>
    <t>Има Състояние за Бизнеса което се създава и може да се добавят и редактират и премахват от секция Номенклатура при Настройки на Стопанина</t>
  </si>
  <si>
    <t>Гара Яна(тук се вкарва нова таблица за конкретния бизнес и тази таблица да е такава която се попълва типизирана за да може да се вгради новата таблица от новия бизнес, което значи да има определени колони за да се впише в съществуващите таблици и диаграми. С възможност в личния таб да е по сложна таблица, да не е една, но да има достатъчно за да попълни нужните колони за да може да се използват в структурната система на програмата и кода. Но да има и свои колони  сметки и информация по избор.)</t>
  </si>
  <si>
    <t>Бизнеси (работещи в Имотите без Обекти и без Продажба и без Наеми Наем, а с вид Бизнес.)</t>
  </si>
  <si>
    <t>Състояние Бизнес</t>
  </si>
  <si>
    <t>№ Обект</t>
  </si>
  <si>
    <t>други(при нужда)</t>
  </si>
  <si>
    <t>2.3.1</t>
  </si>
  <si>
    <t>ФЕЦ+Батерии</t>
  </si>
  <si>
    <t>?</t>
  </si>
  <si>
    <t>2.3.2</t>
  </si>
  <si>
    <t>Батерии</t>
  </si>
  <si>
    <t>/Добави Дело/(Дело към Имот или към Обект)</t>
  </si>
  <si>
    <t>/Добави Среща/(Среща към Имот или към Обект)</t>
  </si>
  <si>
    <t>/Добави Преписка/(Преписка към Имот или към Обект)</t>
  </si>
  <si>
    <t xml:space="preserve">/Добави Голямо Дело/(при избран Състояние Сграда за Имота, тогава вече светва активен бутона като активен за избор, Само към Имот се добавя Голямо дело. </t>
  </si>
  <si>
    <t>Да може тук да се ползва десния бутон и да се дава опция за Всеки Имот или Обект да се избира и добавят тези 3 функции за добавяне, а за Имота да има 4, но 4тия изабор Голямо дело да е неактивно, а само да се показва с по затъмнен текст и да се отключва за избор след като се даде Състояние на Имота : Строителство(конкретно само за нашия случай), за други бизнеси това ще се настройва след разговор с агент на изкуствения интелект който работи с приложението и номенклатурите.</t>
  </si>
  <si>
    <t>6</t>
  </si>
  <si>
    <t>7</t>
  </si>
  <si>
    <t xml:space="preserve">Имотите има Състояние: ПИ(поземлен имот, УПУ(урегулиран поземлен имот), Строеж (Започване на сграда и възможност за Голямо Дело). </t>
  </si>
  <si>
    <t>8</t>
  </si>
  <si>
    <t>Делата има Състояние: Дело, Среща, Преписка. Голямото дело се изнася в отделен таб където на Главното дело има собствена нумнеклатура на Състояние.</t>
  </si>
  <si>
    <t>9</t>
  </si>
  <si>
    <t>При добавяне на Бизнес в някой Имот или на Голямо Дело. И двете са с отделни табове. При тях се появява и в Настройки в секция Номенклатури за редактиране, добавяне и изтриване на Състояние</t>
  </si>
  <si>
    <t>10</t>
  </si>
  <si>
    <t>С дясно копче на празен ред добавяш Имот или Обект или Дело Или Кредит</t>
  </si>
  <si>
    <t>11</t>
  </si>
  <si>
    <t>Видима част която седи залепена горе и под нея започват таблиците. Горе на хедъра няма нищо друго.</t>
  </si>
  <si>
    <t>12</t>
  </si>
  <si>
    <t>С десен бутон върху някой ред се активира редакция , а от бутона се създават нови.</t>
  </si>
  <si>
    <t>Бутони</t>
  </si>
  <si>
    <t>Отвори(запазен по рано модел или таблица за създаване на празна таблица и после вкарване на функционалност. Предложи начин наклрая на кода за най голяма лекота и функционалност по познат модел от ексел).)</t>
  </si>
  <si>
    <t>Запази(записваш експерименталния модел за периоди напред)</t>
  </si>
  <si>
    <t>Добавяне(падащо меню за Имот, Обект, Кредит, Среща)</t>
  </si>
  <si>
    <t>Свалифайл (различни таблици в ПДФ и в Ексел или за Никроинвест файл или за Нап)</t>
  </si>
  <si>
    <t>Добавяне на Състояние Дела от падащо меню се избира: Дела, Срещи, Преписки или се избира ФУнкция на парите в Приход и Разход: ВИждане, Смятане или Въвеждане.</t>
  </si>
  <si>
    <t>Скрий Дела</t>
  </si>
  <si>
    <t>Скрий Разходи</t>
  </si>
  <si>
    <t>Скрий Приходи</t>
  </si>
  <si>
    <t>Скрий Таблица</t>
  </si>
  <si>
    <t>Скрий Диаграма</t>
  </si>
  <si>
    <t>Обнови</t>
  </si>
  <si>
    <t>Период</t>
  </si>
  <si>
    <t>Начало Сега</t>
  </si>
  <si>
    <t>Времеви Такт Диаграма</t>
  </si>
  <si>
    <t xml:space="preserve">начало </t>
  </si>
  <si>
    <t>край</t>
  </si>
  <si>
    <t>ден</t>
  </si>
  <si>
    <t>месец</t>
  </si>
  <si>
    <t>тримесечие</t>
  </si>
  <si>
    <t>година</t>
  </si>
  <si>
    <t>ОБЕКТИ</t>
  </si>
  <si>
    <t>Диаграма Гант (Календар)</t>
  </si>
  <si>
    <t xml:space="preserve"> Състояние за Имот или Състояние на Обект</t>
  </si>
  <si>
    <t xml:space="preserve"> Задачи(нещо като състояние за Делата, Срещите и Преписките).</t>
  </si>
  <si>
    <t>Дата</t>
  </si>
  <si>
    <t>Оценка</t>
  </si>
  <si>
    <t>Бюджет Дела/ Бюджет Сметки</t>
  </si>
  <si>
    <t>такт</t>
  </si>
  <si>
    <t>За Имот и за Обект са различни Състояние. Долу ги пише. (редактират се и премахват и създават от Настройки в Нуменклатури)</t>
  </si>
  <si>
    <t>Дело, Среща, Преписка(редактират се и премахват и създават от Настройки в Нуменклатури)</t>
  </si>
  <si>
    <t>Начало/Край</t>
  </si>
  <si>
    <t>Спешно и Важно(червн цвят в Календара(Диагарамата Хант)</t>
  </si>
  <si>
    <t>м2</t>
  </si>
  <si>
    <t>знак(Евро)</t>
  </si>
  <si>
    <t>филтър</t>
  </si>
  <si>
    <t xml:space="preserve">ПИ </t>
  </si>
  <si>
    <t>Дело / Сондаж</t>
  </si>
  <si>
    <t>2.1.1</t>
  </si>
  <si>
    <t>УПИ/Сграда/</t>
  </si>
  <si>
    <t>Хале</t>
  </si>
  <si>
    <t>Среща / Брокер</t>
  </si>
  <si>
    <t>Дело / Чистене</t>
  </si>
  <si>
    <t>Дело / СМР</t>
  </si>
  <si>
    <t>Среща / [лице]</t>
  </si>
  <si>
    <t>УПИ/Паркинг</t>
  </si>
  <si>
    <t>Среща / Оглед Паркомясто</t>
  </si>
  <si>
    <t>Преписка / [лице]</t>
  </si>
  <si>
    <t>УПИ/Бизнес/ФЕЦ+БАтерии</t>
  </si>
  <si>
    <t>Проект / [лице]</t>
  </si>
  <si>
    <t>Преписка / ЕРМ Запад</t>
  </si>
  <si>
    <t>Състояние на редовете в Сметки: Приходи или Разходи се добавя Състояние Други. Когато се збере на създаден имот с обект който е с други Състояния индивидуални, който ще може да се променя и редактира в номенклатурата когато се създаде. Тук ще се добавя от нов таб и нова таблица където има приход.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</si>
  <si>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Състояние Други(ще се избере в номенклатурата когато се създаде. Ще се добавят директно в писане при нужда и ще падат вече съществуващите в нуменклатурата.Тук ще се добавя от нов таб и нова таблица където има приход или разход накрая. Ще се добавя на ръка или с изкуствен интелект, който работи с приложението и познава как е направен кода и функционалността на приложението, без да пише код, а ползвайки функциите вътре в създадения вече код.</t>
  </si>
  <si>
    <t>За Имот и за Обект са различни Състояние за Управление Дела и Сметки на Стойност. Долу ги пише една част, но тези за бизнес могат да се редактират и да се премахват и създават от Настройки в Нуменклатури или както при Имоти и Обекти при създаването се избира от предишни създадени или се суздава на момента името което отива в Нименклатури.</t>
  </si>
  <si>
    <t xml:space="preserve"> Задачи(нещо като състояние за Делата, Срещите и Преписките) или Състояние на Сметки(за сметките са някоолко варианта: Сметнато, Вкарано в поле за това, Прочетено(Сверено). Задачи: Дело, Среща, Преписка и Вид Сметка: Сметнато, Вкарано (поле за това), Прочетено(Сверено.)Всички се рредактират се и премахват. Създават от Настройки в Нуменклатури за движения и функцията с написани нуменклатури).</t>
  </si>
  <si>
    <t>Бюджет Сметки от таб Бизнес към Имот. Ако е на загуба се изпраща сметката с знак - в Разходи. Разходите минават като фактури и не се показват тук освен ако не са на друга фирма, която управлява бизнеса на нашия имот. Има такива случаи и то при нас. Тогава се изолира мини счетоводство в самия таб на бизнеса но не в този бизнес на ВИнтекс Строй, а се отваря и създава нова фирма с абсолютно нов проекет със собствен модел и таблици. За сега няма да го активираме, но трябва да съобразим и положим основите за това.</t>
  </si>
  <si>
    <t>С дясно копче на Имоти добавяш Задача</t>
  </si>
  <si>
    <t xml:space="preserve"> Състояние за Имот или Състояние на Обект или състояние на Бизнес</t>
  </si>
  <si>
    <t xml:space="preserve"> Задачи</t>
  </si>
  <si>
    <t>За Имот и за Обект са различни Състояние за Управление Дела и Сметки на Стойност. Долу ги пише една част, но За Имот, Обект и Бизнес се различават.</t>
  </si>
  <si>
    <t>Вид Задачи: Дело, Среща, Преписка и Вид Сметка: Сметнато, Вкарано (поле за това), Прочетено(Сверено.)</t>
  </si>
  <si>
    <t xml:space="preserve">Начало </t>
  </si>
  <si>
    <t xml:space="preserve"> Край</t>
  </si>
  <si>
    <t>Бюджет Дела</t>
  </si>
  <si>
    <t>Дело / Проект [лице]</t>
  </si>
  <si>
    <t>ПРИХОД</t>
  </si>
  <si>
    <t>Наем Банка</t>
  </si>
  <si>
    <t>ОБЩ Бюджет Сметки</t>
  </si>
  <si>
    <t>Сверяване с Банкови Извлечения</t>
  </si>
  <si>
    <t>Бюджет Сметки</t>
  </si>
  <si>
    <t>2.1.2</t>
  </si>
  <si>
    <t>2.1.3</t>
  </si>
  <si>
    <t>2.1.4</t>
  </si>
  <si>
    <t>Наем Кеш</t>
  </si>
  <si>
    <t>Въвеждане</t>
  </si>
  <si>
    <t>5.1</t>
  </si>
  <si>
    <t>2.3</t>
  </si>
  <si>
    <t>Бизнес</t>
  </si>
  <si>
    <t>Въвеждане или сверяване от таблици. При създаването се избира как да работи.</t>
  </si>
  <si>
    <t>Бюджет Сметки от таб Бизнес към Имот. Ако е на печалба се изпраща сметката с знак + в Приход.</t>
  </si>
  <si>
    <t>Други, като Наеми, които се плащат и са различни(при нас ги няма, но да има опция да се добавят). Да се добавят от Нуменклатури и да могат да се избират при създаване.</t>
  </si>
  <si>
    <t>Разходи</t>
  </si>
  <si>
    <t>Заплати Кеш</t>
  </si>
  <si>
    <t>[служител 1]</t>
  </si>
  <si>
    <t>Вкарване</t>
  </si>
  <si>
    <t>Бюджет Сметки от таб Бизнес към Имот. Ако е на загуба се изпраща сметката с знак - тук.</t>
  </si>
  <si>
    <t>[служител 2]</t>
  </si>
  <si>
    <t>[служител 3]</t>
  </si>
  <si>
    <t>[служител 4]</t>
  </si>
  <si>
    <t>Фактури Кеш</t>
  </si>
  <si>
    <t>Фактури Карта</t>
  </si>
  <si>
    <t>Вкарване / Сверяване с Банкови Извлечения</t>
  </si>
  <si>
    <t>Фактури Бнка</t>
  </si>
  <si>
    <t>Сверени от Издадени и Платени фактури в Списъци на ексел с Банкови Извлечения</t>
  </si>
  <si>
    <t>Кредити</t>
  </si>
  <si>
    <t>Малинова Строителство</t>
  </si>
  <si>
    <t>Сверени с Банкови Извлечения</t>
  </si>
  <si>
    <t>Гара Яна Покупка</t>
  </si>
  <si>
    <t>Панчарево Покупка</t>
  </si>
  <si>
    <t>Банкови такси</t>
  </si>
  <si>
    <t>Заплати Банка</t>
  </si>
  <si>
    <t>Сверени с Банкови Извлечения ако има (при нас няма платени заплати по банка за сега).</t>
  </si>
  <si>
    <t>ОБЩ Бюджет Сметки от таб Бизнес към Имот. Ако е на загуба се изпраща сметката с знак - в Разход.</t>
  </si>
  <si>
    <t xml:space="preserve">Бюджет Сметки от таб Бизнес към Имот. Ако е на загуба се изпраща сметката с знак - в Разходи. </t>
  </si>
  <si>
    <t>Финансови Отчети за избрания период</t>
  </si>
  <si>
    <t>избор коефициент: Всички важни коефициенти за финансите на един бизнес и конкретно специфика от библютеки за конкретния бизнес по всяко време достъпна за всеки един Стопанин. Заредени са необходимите но се дават за избор само тези които могат да се покажат за избрания период. След избора на коефициента се избира възможноста за Диаграма/Гафика/Таблица. Тези библютеки с коефициенти и таблици я има в ексел. Извън или в ядрото и двигатела е най добре да се включат библютеки за най висока сигурността, която сигурност е адекватна на конкуренцията? Проучи конкуренцията за сигурността.</t>
  </si>
  <si>
    <t>Диаграма/Гафика/Таблица</t>
  </si>
  <si>
    <t>избор диаграма: Диаграма/Гафика/Таблица</t>
  </si>
  <si>
    <t xml:space="preserve">Стопани свързани с Coretovia </t>
  </si>
  <si>
    <t>Адрес</t>
  </si>
  <si>
    <t>Длъжност</t>
  </si>
  <si>
    <t>Мостра Строй ЕООД</t>
  </si>
  <si>
    <t>0888 000 001</t>
  </si>
  <si>
    <t>stopanin@example.bg</t>
  </si>
  <si>
    <t>гр. София, ул. Мостра 1</t>
  </si>
  <si>
    <t>Стопанин</t>
  </si>
  <si>
    <t>Служители свързани с Coretovia</t>
  </si>
  <si>
    <t>Име Служител</t>
  </si>
  <si>
    <t>Служител Едно</t>
  </si>
  <si>
    <t>0888 000 002</t>
  </si>
  <si>
    <t>sluzhitel1@example.bg</t>
  </si>
  <si>
    <t>Управител</t>
  </si>
  <si>
    <t>Служител Две</t>
  </si>
  <si>
    <t>0888 000 003</t>
  </si>
  <si>
    <t>sluzhitel2@example.bg</t>
  </si>
  <si>
    <t>Служител Три</t>
  </si>
  <si>
    <t>0888 000 004</t>
  </si>
  <si>
    <t>sluzhitel3@example.bg</t>
  </si>
  <si>
    <t>Помощник Управител</t>
  </si>
  <si>
    <t>Служител Четири</t>
  </si>
  <si>
    <t>Служител</t>
  </si>
  <si>
    <t>Служител Пет</t>
  </si>
  <si>
    <t>Създаване на Длъжност с достъп</t>
  </si>
  <si>
    <t>Достъп на Длъжности за Служител</t>
  </si>
  <si>
    <t>достъп до табове без Журнал</t>
  </si>
  <si>
    <t>достъп до хедъри</t>
  </si>
  <si>
    <t>достъп до Секци Редове</t>
  </si>
  <si>
    <t>Таб Журнал</t>
  </si>
  <si>
    <t>Редактира всичко</t>
  </si>
  <si>
    <t>Вижда само всичко</t>
  </si>
  <si>
    <t>Вижда всичко</t>
  </si>
  <si>
    <t>Редактира  хедъри: Заплати, Фактури Кеш, Фактури Карта</t>
  </si>
  <si>
    <t>Вижда само таб Служители</t>
  </si>
  <si>
    <t>Вижда само хедър: Програма за Задачи на Служители</t>
  </si>
  <si>
    <t>Вижда само редовете с негови задачи: Личен Лист с Задачи</t>
  </si>
  <si>
    <t>Наблюдател</t>
  </si>
  <si>
    <t>Програма за Задачи на Служители</t>
  </si>
  <si>
    <t>днешни задачи</t>
  </si>
  <si>
    <t>седмични задачи в таблица</t>
  </si>
  <si>
    <t>Вече няма вноски: ПД смр и Акт 15 смр, След сградата "ЖИЛИЩНА СГРАДА С ПОДЗЕМНИ ГАРАЖИ  УПИ ІХ-1691,1692, кв. 47, м. Студентски град, р-н Студентски</t>
  </si>
  <si>
    <t xml:space="preserve">Т А Б Л И Ц А 
за продажби на Винтекс Строй ЕАД в обект: "ЖИЛИЩНА СГРАДА С ПОДЗЕМНИ ГАРАЖИ  УПИ ІХ-1691,1692, кв. 47, м. Студентски град, р-н Студентски, гр. София" </t>
  </si>
  <si>
    <t>име</t>
  </si>
  <si>
    <t>имейл</t>
  </si>
  <si>
    <t>п. място</t>
  </si>
  <si>
    <t>мазе</t>
  </si>
  <si>
    <t>квадратура</t>
  </si>
  <si>
    <t>цена банка</t>
  </si>
  <si>
    <t xml:space="preserve">цена смр </t>
  </si>
  <si>
    <t>ПД банка</t>
  </si>
  <si>
    <t>ПД смр</t>
  </si>
  <si>
    <t>НС банка</t>
  </si>
  <si>
    <t>НС смр</t>
  </si>
  <si>
    <t>Акт 15 смр</t>
  </si>
  <si>
    <t>Акт 15</t>
  </si>
  <si>
    <t xml:space="preserve">АКТ 16 </t>
  </si>
  <si>
    <t>проверка банка</t>
  </si>
  <si>
    <t>проверка кеш</t>
  </si>
  <si>
    <t>апарт. № 1</t>
  </si>
  <si>
    <t>0888 000 011</t>
  </si>
  <si>
    <t>Купувач Едно</t>
  </si>
  <si>
    <t>kupuvach1@example.bg</t>
  </si>
  <si>
    <t>апарт. № 2</t>
  </si>
  <si>
    <t>0888 000 012</t>
  </si>
  <si>
    <t>Купувач Две</t>
  </si>
  <si>
    <t>kupuvach2@example.bg</t>
  </si>
  <si>
    <t>апарт. № 3</t>
  </si>
  <si>
    <t>Купувач Три</t>
  </si>
  <si>
    <t>ателие № 1</t>
  </si>
  <si>
    <t>0888 000 014</t>
  </si>
  <si>
    <t>Купувач Четири</t>
  </si>
  <si>
    <t>kupuvach4@example.bg</t>
  </si>
  <si>
    <t>гараж № 4</t>
  </si>
  <si>
    <t>0888 000 015</t>
  </si>
  <si>
    <t>Купувач Пет</t>
  </si>
  <si>
    <t>kupuvach5@example.bg</t>
  </si>
  <si>
    <t>НПМ № 12</t>
  </si>
  <si>
    <t>Купувач Шест</t>
  </si>
  <si>
    <t>ОБЩО евро</t>
  </si>
  <si>
    <t xml:space="preserve">Т А Б Л И Ц А 
за продажбите на Винтекс Строй ЕАД в обект: ЖИЛИЩНА СГРАДА С ПОДЗЕМНИ ГАРАЖИ в УПИ V-3508, кв. 56, м. Малинова долина, р-н Студентски, гр. София</t>
  </si>
  <si>
    <t>евро/квадрат</t>
  </si>
  <si>
    <t>ПД кеш</t>
  </si>
  <si>
    <t>НС кеш</t>
  </si>
  <si>
    <t>АКТ 15 банка</t>
  </si>
  <si>
    <t xml:space="preserve">АКТ 16 банка </t>
  </si>
  <si>
    <t>апартамент № 3</t>
  </si>
  <si>
    <t>0888 000 021</t>
  </si>
  <si>
    <t>Купувач Седем</t>
  </si>
  <si>
    <t>kupuvach7@example.bg</t>
  </si>
  <si>
    <t>апартамент № 4</t>
  </si>
  <si>
    <t>0888 000 022</t>
  </si>
  <si>
    <t>Купувач Осем</t>
  </si>
  <si>
    <t>kupuvach8@example.bg</t>
  </si>
  <si>
    <t>апартамент № 5</t>
  </si>
  <si>
    <t>Купувач Девет</t>
  </si>
  <si>
    <t>гараж № 3</t>
  </si>
  <si>
    <t>0888 000 024</t>
  </si>
  <si>
    <t>Купувач Десет</t>
  </si>
  <si>
    <t>kupuvach10@example.bg</t>
  </si>
  <si>
    <t>апартамент № 17</t>
  </si>
  <si>
    <t>Купувач Единайсет</t>
  </si>
  <si>
    <t>Създава табове, тъаблици, специфични връзски на номенклатури и нови връзки и функционалности взети от външни ниблиотеки извън ядрото и двигателя. Променя и настройва системата в границите допустими от кода на приложението за да се приспособи към различен бизнес използвайки функционалностите на системата и работата с вънжни библютеки и заложените функционалности в системата и нейното ядро за да работи много функционално в различни бикзнес организиран ситеми.</t>
  </si>
  <si>
    <t xml:space="preserve">Изпълнява общи за всички агенти Основи Команди и Правила, като се създаде умение в Клод, което не се редактира, ако искаш да го махнеш триеш агента само и единствено от акаунта на Стопанина. </t>
  </si>
  <si>
    <t>Задават му се задачи които се редактират, но не могат да се изпълнят ако противоречат на основните команди.</t>
  </si>
  <si>
    <t>Никога не променя без да даде доклад и отчет на промяната, освен ако не е автоматизирана от текущите задачи.</t>
  </si>
  <si>
    <t>Активни агенти</t>
  </si>
  <si>
    <t>агент</t>
  </si>
  <si>
    <t>задача</t>
  </si>
  <si>
    <t>статус</t>
  </si>
  <si>
    <t>време</t>
  </si>
  <si>
    <t>отчет</t>
  </si>
  <si>
    <t>Хаику</t>
  </si>
  <si>
    <t>Сверчик</t>
  </si>
  <si>
    <t>Сверява промените настъпили в системата от дневната сверка на информацията в екселския файл и вкараните промени в файловете и вкарани в програмата нова информация от различните служители и стопани.</t>
  </si>
  <si>
    <t>Опус</t>
  </si>
  <si>
    <t>Архитект</t>
  </si>
  <si>
    <t>Създава и редактира табове с таблици с хедъри, които да бъдат попълнени от новия акаунт на нов Стопанин с нов бизнес. Разказва за своя бизнес и му се дава да попълни таблици с своя бизнес и се изискват определни колони с които системата да заработи и да определи  възможностите на бизнеса и системата да заработят заедно. Използва всички налиности в Клод за да използва пълноценно своя възможен потенциал за умениоя по задачата която има. Създава собсътвен плъгин и развива собствено създадено умение подхранвано от необходимия брой плъгини които да се инсталират за да работи правилно. Основна задача е да каже кои плъгани иска инсталирани и добавени към него за постоянна аработа. 2. Създава умение което да се подобри и го ъпдейтва с предложение към стопанина за приемане.</t>
  </si>
  <si>
    <t>Фейбъл</t>
  </si>
  <si>
    <t>Инвеститор</t>
  </si>
  <si>
    <t>Изчислява предложените модели и прогнози от възможностите на Сметки, където можеш да добвяш, триеш., редактираш всичко което можеш в Управление, но без да се запазва в системата, а само като локален записан файл в СМетки, който може да се запамети, пусне и да се разчита, анализира и сравнява. Фейбъл дава оценка на предложените варианти, мисли по добри и предлага подобрения и асолютно нови решения.</t>
  </si>
  <si>
    <t>Комбинация от модели</t>
  </si>
  <si>
    <t>Брокер</t>
  </si>
  <si>
    <t>Търсене на имоти и сверяване на актуално търсени имоти</t>
  </si>
  <si>
    <t>Анализатор</t>
  </si>
  <si>
    <t>Търси и анализира ценик и следи развитието на пазара н аимоти за България, София и Света и дава оценка на ситуацията следйки новини, анализатори и  следене на исторически моделин аданните достъпни  в интернет.</t>
  </si>
  <si>
    <t>Неактивни агенти</t>
  </si>
  <si>
    <t>Номенклатури за Състояние на Имот и на Обект и на Дело и на Среща. За Голямо дело е индивидуална от таблицата която се качва с Линеен графил и се взима колоната с стойностите от КСС.</t>
  </si>
  <si>
    <t>Голямото дело се изнася в отделен таб където на Главното дело статуса има собствена нумнеклатура.</t>
  </si>
  <si>
    <t>Настройки от миналия проект ги приложи към този и фи добави оптимизирани за този проект.</t>
  </si>
  <si>
    <t>Табове и Настройки от стария проект като идея се обединяват в новия проект и новата среда и нова подобрена функционалност и се настройват към нея в новия таб Настройки(Сопанин)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</si>
</sst>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49" fontId="0" fillId="0" borderId="0" xfId="0" applyNumberFormat="1"/>
    <xf numFmtId="4" fontId="0" fillId="0" borderId="0" xfId="0" applyNumberFormat="1"/>
    <xf numFmtId="49" fontId="1" fillId="0" borderId="0" xfId="0" applyNumberFormat="1" applyFont="1"/>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9"/>
  <sheetFormatPr defaultRowHeight="15" outlineLevelRow="0" outlineLevelCol="0" x14ac:dyDescent="55"/>
  <sheetData>
    <row r="2" spans="1:2" x14ac:dyDescent="0.25">
      <c r="A2">
        <v>1</v>
      </c>
      <c r="B2" t="s">
        <v>0</v>
      </c>
    </row>
    <row r="3" spans="2:6" x14ac:dyDescent="0.25">
      <c r="B3" s="1" t="s">
        <v>1</v>
      </c>
      <c r="C3" s="1" t="s">
        <v>2</v>
      </c>
      <c r="D3" s="1" t="s">
        <v>3</v>
      </c>
      <c r="E3" s="1" t="s">
        <v>4</v>
      </c>
      <c r="F3" s="1" t="s">
        <v>5</v>
      </c>
    </row>
    <row r="5" spans="1:2" x14ac:dyDescent="0.25">
      <c r="A5">
        <v>2</v>
      </c>
      <c r="B5" t="s">
        <v>6</v>
      </c>
    </row>
    <row r="7" spans="1:2" x14ac:dyDescent="0.25">
      <c r="A7">
        <v>3</v>
      </c>
      <c r="B7" t="s">
        <v>7</v>
      </c>
    </row>
    <row r="9" spans="1:2" x14ac:dyDescent="0.25">
      <c r="A9">
        <v>4</v>
      </c>
      <c r="B9" t="s">
        <v>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9" style="2" customWidth="1"/>
    <col min="6" max="6" width="9" style="3" customWidth="1"/>
  </cols>
  <sheetData>
    <row r="1" spans="1:6" x14ac:dyDescent="0.25">
      <c r="A1" s="2" t="s">
        <v>9</v>
      </c>
      <c r="B1" t="s">
        <v>10</v>
      </c>
      <c r="F1" s="3"/>
    </row>
    <row r="2" spans="1:6" x14ac:dyDescent="0.25">
      <c r="A2" s="2" t="s">
        <v>11</v>
      </c>
      <c r="B2" t="s">
        <v>12</v>
      </c>
      <c r="F2" s="3"/>
    </row>
    <row r="4" spans="1:8" x14ac:dyDescent="0.25">
      <c r="A4" s="4" t="s">
        <v>13</v>
      </c>
      <c r="B4" s="4"/>
      <c r="C4" s="4"/>
      <c r="D4" s="4"/>
      <c r="E4" s="4"/>
      <c r="F4" s="4"/>
      <c r="G4" s="4"/>
      <c r="H4" s="4"/>
    </row>
    <row r="5" spans="1:8" x14ac:dyDescent="0.25">
      <c r="A5" s="2"/>
      <c r="B5" s="1" t="s">
        <v>14</v>
      </c>
      <c r="C5" s="1" t="s">
        <v>15</v>
      </c>
      <c r="D5" s="1" t="s">
        <v>16</v>
      </c>
      <c r="E5" s="1" t="s">
        <v>17</v>
      </c>
      <c r="F5" s="5" t="s">
        <v>18</v>
      </c>
      <c r="G5" s="1" t="s">
        <v>19</v>
      </c>
      <c r="H5" s="1" t="s">
        <v>20</v>
      </c>
    </row>
    <row r="6" spans="1:6" x14ac:dyDescent="0.25">
      <c r="A6" s="2" t="s">
        <v>9</v>
      </c>
      <c r="B6" t="s">
        <v>21</v>
      </c>
      <c r="C6" t="s">
        <v>22</v>
      </c>
      <c r="D6">
        <v>0</v>
      </c>
      <c r="F6" s="3"/>
    </row>
    <row r="7" spans="1:6" x14ac:dyDescent="0.25">
      <c r="A7" s="2" t="s">
        <v>11</v>
      </c>
      <c r="B7" t="s">
        <v>23</v>
      </c>
      <c r="C7" t="s">
        <v>24</v>
      </c>
      <c r="D7">
        <v>0</v>
      </c>
      <c r="F7" s="3"/>
    </row>
    <row r="8" spans="1:6" x14ac:dyDescent="0.25">
      <c r="A8" s="2" t="s">
        <v>25</v>
      </c>
      <c r="B8" t="s">
        <v>26</v>
      </c>
      <c r="C8" t="s">
        <v>27</v>
      </c>
      <c r="D8">
        <v>0</v>
      </c>
      <c r="F8" s="3"/>
    </row>
    <row r="9" spans="1:6" x14ac:dyDescent="0.25">
      <c r="A9" s="2" t="s">
        <v>28</v>
      </c>
      <c r="B9" t="s">
        <v>29</v>
      </c>
      <c r="C9" t="s">
        <v>27</v>
      </c>
      <c r="D9">
        <v>0</v>
      </c>
      <c r="F9" s="3"/>
    </row>
    <row r="10" spans="1:6" x14ac:dyDescent="0.25">
      <c r="A10" s="2" t="s">
        <v>30</v>
      </c>
      <c r="B10" t="s">
        <v>31</v>
      </c>
      <c r="C10" t="s">
        <v>32</v>
      </c>
      <c r="D10">
        <v>0</v>
      </c>
      <c r="F10" s="3"/>
    </row>
    <row r="12" spans="1:6" x14ac:dyDescent="0.25">
      <c r="A12" s="2" t="s">
        <v>9</v>
      </c>
      <c r="B12" t="s">
        <v>33</v>
      </c>
      <c r="F12" s="3"/>
    </row>
    <row r="13" spans="1:6" x14ac:dyDescent="0.25">
      <c r="A13" s="2" t="s">
        <v>11</v>
      </c>
      <c r="B13" t="s">
        <v>34</v>
      </c>
      <c r="F13" s="3"/>
    </row>
    <row r="14" spans="1:6" x14ac:dyDescent="0.25">
      <c r="A14" s="2" t="s">
        <v>25</v>
      </c>
      <c r="B14" t="s">
        <v>35</v>
      </c>
      <c r="F14" s="3"/>
    </row>
    <row r="15" spans="1:8" x14ac:dyDescent="0.25">
      <c r="A15" s="4" t="s">
        <v>36</v>
      </c>
      <c r="B15" s="4"/>
      <c r="C15" s="4"/>
      <c r="D15" s="4"/>
      <c r="E15" s="4"/>
      <c r="F15" s="4"/>
      <c r="G15" s="4"/>
      <c r="H15" s="4"/>
    </row>
    <row r="16" spans="1:8" x14ac:dyDescent="0.25">
      <c r="A16" s="2"/>
      <c r="B16" s="1" t="s">
        <v>14</v>
      </c>
      <c r="C16" s="1" t="s">
        <v>15</v>
      </c>
      <c r="D16" s="1" t="s">
        <v>16</v>
      </c>
      <c r="E16" s="1" t="s">
        <v>17</v>
      </c>
      <c r="F16" s="5" t="s">
        <v>18</v>
      </c>
      <c r="G16" s="1" t="s">
        <v>19</v>
      </c>
      <c r="H16" s="1" t="s">
        <v>37</v>
      </c>
    </row>
    <row r="17" spans="1:6" x14ac:dyDescent="0.25">
      <c r="A17" s="2" t="s">
        <v>38</v>
      </c>
      <c r="B17" t="s">
        <v>23</v>
      </c>
      <c r="C17" t="s">
        <v>39</v>
      </c>
      <c r="F17" s="3"/>
    </row>
    <row r="18" spans="1:6" x14ac:dyDescent="0.25">
      <c r="A18" s="2" t="s">
        <v>40</v>
      </c>
      <c r="C18" t="s">
        <v>41</v>
      </c>
      <c r="D18">
        <v>1</v>
      </c>
      <c r="F18" s="3"/>
    </row>
    <row r="19" spans="1:6" x14ac:dyDescent="0.25">
      <c r="A19" s="2" t="s">
        <v>42</v>
      </c>
      <c r="C19" t="s">
        <v>41</v>
      </c>
      <c r="D19">
        <v>2</v>
      </c>
      <c r="F19" s="3"/>
    </row>
    <row r="20" spans="1:6" x14ac:dyDescent="0.25">
      <c r="A20" s="2" t="s">
        <v>43</v>
      </c>
      <c r="C20" t="s">
        <v>41</v>
      </c>
      <c r="D20">
        <v>3</v>
      </c>
      <c r="F20" s="3"/>
    </row>
    <row r="21" spans="1:6" x14ac:dyDescent="0.25">
      <c r="A21" s="2" t="s">
        <v>44</v>
      </c>
      <c r="C21" t="s">
        <v>41</v>
      </c>
      <c r="D21">
        <v>4</v>
      </c>
      <c r="F21" s="3"/>
    </row>
    <row r="22" spans="1:6" x14ac:dyDescent="0.25">
      <c r="A22" s="2" t="s">
        <v>45</v>
      </c>
      <c r="B22" t="s">
        <v>26</v>
      </c>
      <c r="C22" t="s">
        <v>39</v>
      </c>
      <c r="F22" s="3"/>
    </row>
    <row r="23" spans="1:6" x14ac:dyDescent="0.25">
      <c r="A23" s="2" t="s">
        <v>46</v>
      </c>
      <c r="C23" t="s">
        <v>47</v>
      </c>
      <c r="D23">
        <v>1</v>
      </c>
      <c r="F23" s="3"/>
    </row>
    <row r="24" spans="1:6" x14ac:dyDescent="0.25">
      <c r="A24" s="2" t="s">
        <v>48</v>
      </c>
      <c r="C24" t="s">
        <v>47</v>
      </c>
      <c r="D24">
        <v>27</v>
      </c>
      <c r="F24" s="3"/>
    </row>
    <row r="25" spans="1:6" x14ac:dyDescent="0.25">
      <c r="A25" s="2" t="s">
        <v>49</v>
      </c>
      <c r="C25" t="s">
        <v>50</v>
      </c>
      <c r="D25">
        <v>8</v>
      </c>
      <c r="F25" s="3"/>
    </row>
    <row r="26" spans="1:6" x14ac:dyDescent="0.25">
      <c r="A26" s="2" t="s">
        <v>51</v>
      </c>
      <c r="C26" t="s">
        <v>50</v>
      </c>
      <c r="D26">
        <v>20</v>
      </c>
      <c r="F26" s="3"/>
    </row>
    <row r="27" spans="1:6" x14ac:dyDescent="0.25">
      <c r="A27" s="2" t="s">
        <v>52</v>
      </c>
      <c r="C27" t="s">
        <v>50</v>
      </c>
      <c r="D27">
        <v>23</v>
      </c>
      <c r="F27" s="3"/>
    </row>
    <row r="28" spans="1:6" x14ac:dyDescent="0.25">
      <c r="A28" s="2" t="s">
        <v>53</v>
      </c>
      <c r="C28" t="s">
        <v>54</v>
      </c>
      <c r="D28">
        <v>1</v>
      </c>
      <c r="F28" s="3"/>
    </row>
    <row r="29" spans="1:6" x14ac:dyDescent="0.25">
      <c r="A29" s="2" t="s">
        <v>55</v>
      </c>
      <c r="C29" t="s">
        <v>54</v>
      </c>
      <c r="D29">
        <v>2</v>
      </c>
      <c r="F29" s="3"/>
    </row>
    <row r="30" spans="1:6" x14ac:dyDescent="0.25">
      <c r="A30" s="2" t="s">
        <v>56</v>
      </c>
      <c r="C30" t="s">
        <v>54</v>
      </c>
      <c r="D30">
        <v>3</v>
      </c>
      <c r="F30" s="3"/>
    </row>
    <row r="31" spans="1:6" x14ac:dyDescent="0.25">
      <c r="A31" s="2" t="s">
        <v>57</v>
      </c>
      <c r="C31" t="s">
        <v>54</v>
      </c>
      <c r="D31">
        <v>4</v>
      </c>
      <c r="F31" s="3"/>
    </row>
    <row r="32" spans="1:6" x14ac:dyDescent="0.25">
      <c r="A32" s="2" t="s">
        <v>58</v>
      </c>
      <c r="C32" t="s">
        <v>54</v>
      </c>
      <c r="D32">
        <v>5</v>
      </c>
      <c r="F32" s="3"/>
    </row>
    <row r="33" spans="1:6" x14ac:dyDescent="0.25">
      <c r="A33" s="2" t="s">
        <v>59</v>
      </c>
      <c r="C33" t="s">
        <v>54</v>
      </c>
      <c r="D33">
        <v>6</v>
      </c>
      <c r="F33" s="3"/>
    </row>
    <row r="34" spans="1:6" x14ac:dyDescent="0.25">
      <c r="A34" s="2" t="s">
        <v>60</v>
      </c>
      <c r="B34" t="s">
        <v>26</v>
      </c>
      <c r="C34" t="s">
        <v>61</v>
      </c>
      <c r="F34" s="3"/>
    </row>
    <row r="35" spans="1:6" x14ac:dyDescent="0.25">
      <c r="A35" s="2" t="s">
        <v>62</v>
      </c>
      <c r="C35" t="s">
        <v>63</v>
      </c>
      <c r="D35">
        <v>11</v>
      </c>
      <c r="F35" s="3"/>
    </row>
    <row r="36" spans="1:6" x14ac:dyDescent="0.25">
      <c r="A36" s="2" t="s">
        <v>64</v>
      </c>
      <c r="C36" t="s">
        <v>65</v>
      </c>
      <c r="D36">
        <v>13</v>
      </c>
      <c r="F36" s="3"/>
    </row>
    <row r="37" spans="1:6" x14ac:dyDescent="0.25">
      <c r="A37" s="2" t="s">
        <v>66</v>
      </c>
      <c r="C37" t="s">
        <v>65</v>
      </c>
      <c r="D37">
        <v>18</v>
      </c>
      <c r="F37" s="3"/>
    </row>
    <row r="38" spans="1:6" x14ac:dyDescent="0.25">
      <c r="A38" s="2" t="s">
        <v>67</v>
      </c>
      <c r="C38" t="s">
        <v>65</v>
      </c>
      <c r="D38">
        <v>20</v>
      </c>
      <c r="F38" s="3"/>
    </row>
    <row r="39" spans="1:6" x14ac:dyDescent="0.25">
      <c r="A39" s="2" t="s">
        <v>68</v>
      </c>
      <c r="C39" t="s">
        <v>65</v>
      </c>
      <c r="D39">
        <v>22</v>
      </c>
      <c r="F39" s="3"/>
    </row>
    <row r="40" spans="1:6" x14ac:dyDescent="0.25">
      <c r="A40" s="2" t="s">
        <v>69</v>
      </c>
      <c r="C40" t="s">
        <v>65</v>
      </c>
      <c r="D40">
        <v>23</v>
      </c>
      <c r="F40" s="3"/>
    </row>
    <row r="41" spans="1:6" x14ac:dyDescent="0.25">
      <c r="A41" s="2" t="s">
        <v>70</v>
      </c>
      <c r="B41" t="s">
        <v>31</v>
      </c>
      <c r="C41" t="s">
        <v>61</v>
      </c>
      <c r="F41" s="3"/>
    </row>
    <row r="42" spans="1:6" x14ac:dyDescent="0.25">
      <c r="A42" s="2" t="s">
        <v>71</v>
      </c>
      <c r="C42" t="s">
        <v>65</v>
      </c>
      <c r="D42">
        <v>1</v>
      </c>
      <c r="F42" s="3"/>
    </row>
    <row r="43" spans="1:6" x14ac:dyDescent="0.25">
      <c r="A43" s="2" t="s">
        <v>72</v>
      </c>
      <c r="C43" t="s">
        <v>65</v>
      </c>
      <c r="D43">
        <v>2</v>
      </c>
      <c r="F43" s="3"/>
    </row>
    <row r="44" spans="1:6" x14ac:dyDescent="0.25">
      <c r="A44" s="2" t="s">
        <v>73</v>
      </c>
      <c r="C44" t="s">
        <v>65</v>
      </c>
      <c r="D44">
        <v>3</v>
      </c>
      <c r="F44" s="3"/>
    </row>
    <row r="45" spans="1:6" x14ac:dyDescent="0.25">
      <c r="A45" s="2" t="s">
        <v>74</v>
      </c>
      <c r="C45" t="s">
        <v>65</v>
      </c>
      <c r="D45">
        <v>4</v>
      </c>
      <c r="F45" s="3"/>
    </row>
    <row r="46" spans="1:6" x14ac:dyDescent="0.25">
      <c r="A46" s="2" t="s">
        <v>75</v>
      </c>
      <c r="C46" t="s">
        <v>65</v>
      </c>
      <c r="D46">
        <v>5</v>
      </c>
      <c r="F46" s="3"/>
    </row>
    <row r="47" spans="1:6" x14ac:dyDescent="0.25">
      <c r="A47" s="2" t="s">
        <v>76</v>
      </c>
      <c r="C47" t="s">
        <v>65</v>
      </c>
      <c r="D47">
        <v>6</v>
      </c>
      <c r="F47" s="3"/>
    </row>
    <row r="48" spans="1:6" x14ac:dyDescent="0.25">
      <c r="A48" s="2" t="s">
        <v>77</v>
      </c>
      <c r="C48" t="s">
        <v>65</v>
      </c>
      <c r="D48">
        <v>7</v>
      </c>
      <c r="F48" s="3"/>
    </row>
    <row r="50" spans="1:6" x14ac:dyDescent="0.25">
      <c r="A50" s="2" t="s">
        <v>9</v>
      </c>
      <c r="B50" t="s">
        <v>78</v>
      </c>
      <c r="F50" s="3"/>
    </row>
    <row r="51" spans="1:6" x14ac:dyDescent="0.25">
      <c r="A51" s="2" t="s">
        <v>11</v>
      </c>
      <c r="B51" t="s">
        <v>79</v>
      </c>
      <c r="F51" s="3"/>
    </row>
    <row r="52" spans="1:6" x14ac:dyDescent="0.25">
      <c r="A52" s="2" t="s">
        <v>25</v>
      </c>
      <c r="B52" t="s">
        <v>80</v>
      </c>
      <c r="F52" s="3"/>
    </row>
    <row r="53" spans="1:9" x14ac:dyDescent="0.25">
      <c r="A53" s="4" t="s">
        <v>81</v>
      </c>
      <c r="B53" s="4"/>
      <c r="C53" s="4"/>
      <c r="D53" s="4"/>
      <c r="E53" s="4"/>
      <c r="F53" s="4"/>
      <c r="G53" s="4"/>
      <c r="H53" s="4"/>
      <c r="I53" s="4"/>
    </row>
    <row r="54" spans="1:9" x14ac:dyDescent="0.25">
      <c r="A54" s="4" t="s">
        <v>16</v>
      </c>
      <c r="B54" s="1" t="s">
        <v>14</v>
      </c>
      <c r="C54" s="1" t="s">
        <v>82</v>
      </c>
      <c r="D54" s="1" t="s">
        <v>83</v>
      </c>
      <c r="E54" s="1" t="s">
        <v>17</v>
      </c>
      <c r="F54" s="5" t="s">
        <v>18</v>
      </c>
      <c r="G54" s="1" t="s">
        <v>19</v>
      </c>
      <c r="H54" s="1" t="s">
        <v>37</v>
      </c>
      <c r="I54" s="1" t="s">
        <v>84</v>
      </c>
    </row>
    <row r="55" spans="1:9" x14ac:dyDescent="0.25">
      <c r="A55" s="2" t="s">
        <v>85</v>
      </c>
      <c r="B55" t="s">
        <v>23</v>
      </c>
      <c r="C55" t="s">
        <v>86</v>
      </c>
      <c r="D55">
        <v>1</v>
      </c>
      <c r="F55" s="3"/>
      <c r="I55" t="s">
        <v>87</v>
      </c>
    </row>
    <row r="56" spans="1:9" x14ac:dyDescent="0.25">
      <c r="A56" s="2" t="s">
        <v>88</v>
      </c>
      <c r="B56"/>
      <c r="C56" t="s">
        <v>89</v>
      </c>
      <c r="D56">
        <v>2</v>
      </c>
      <c r="F56" s="3"/>
      <c r="I56" t="s">
        <v>87</v>
      </c>
    </row>
  </sheetData>
  <autoFilter ref="B5:H10"/>
  <mergeCells count="4">
    <mergeCell ref="A4:H4"/>
    <mergeCell ref="A15:H15"/>
    <mergeCell ref="A53:I53"/>
    <mergeCell ref="B55:B56"/>
  </mergeCells>
  <dataValidations count="4">
    <dataValidation type="list" allowBlank="1" sqref="C10">
      <formula1>"ПИ,УПИ,Строеж"</formula1>
    </dataValidation>
    <dataValidation type="list" allowBlank="1" sqref="C17:C48">
      <formula1>"Сграда,Паркинг,апартамент,гараж,офис,склад,НПМ"</formula1>
    </dataValidation>
    <dataValidation type="list" allowBlank="1" sqref="C55:C56">
      <formula1>"ФЕЦ+Батерии,Батерии"</formula1>
    </dataValidation>
    <dataValidation type="list" allowBlank="1" sqref="C6:C10">
      <formula1>"ПИ,УПИ,Строеж"</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pane ySplit="19" topLeftCell="A20" activePane="bottomLeft" state="frozen"/>
      <selection pane="bottomLeft"/>
    </sheetView>
  </sheetViews>
  <sheetFormatPr defaultRowHeight="15" outlineLevelRow="0" outlineLevelCol="0" x14ac:dyDescent="55"/>
  <cols>
    <col min="1" max="1" width="9" style="2" customWidth="1"/>
    <col min="9" max="9" width="9" style="3" customWidth="1"/>
  </cols>
  <sheetData>
    <row r="1" spans="1:9" x14ac:dyDescent="0.25">
      <c r="A1" s="2" t="s">
        <v>9</v>
      </c>
      <c r="B1" t="s">
        <v>90</v>
      </c>
      <c r="I1" s="3"/>
    </row>
    <row r="2" spans="1:9" x14ac:dyDescent="0.25">
      <c r="A2" s="2" t="s">
        <v>11</v>
      </c>
      <c r="B2" t="s">
        <v>91</v>
      </c>
      <c r="I2" s="3"/>
    </row>
    <row r="3" spans="1:9" x14ac:dyDescent="0.25">
      <c r="A3" s="2" t="s">
        <v>25</v>
      </c>
      <c r="B3" t="s">
        <v>92</v>
      </c>
      <c r="I3" s="3"/>
    </row>
    <row r="4" spans="1:9" x14ac:dyDescent="0.25">
      <c r="A4" s="2" t="s">
        <v>28</v>
      </c>
      <c r="B4" t="s">
        <v>93</v>
      </c>
      <c r="I4" s="3"/>
    </row>
    <row r="5" spans="1:9" x14ac:dyDescent="0.25">
      <c r="A5" s="2" t="s">
        <v>30</v>
      </c>
      <c r="B5" t="s">
        <v>94</v>
      </c>
      <c r="I5" s="3"/>
    </row>
    <row r="6" spans="1:9" x14ac:dyDescent="0.25">
      <c r="A6" s="2" t="s">
        <v>95</v>
      </c>
      <c r="B6" t="s">
        <v>34</v>
      </c>
      <c r="I6" s="3"/>
    </row>
    <row r="7" spans="1:9" x14ac:dyDescent="0.25">
      <c r="A7" s="2" t="s">
        <v>96</v>
      </c>
      <c r="B7" t="s">
        <v>97</v>
      </c>
      <c r="I7" s="3"/>
    </row>
    <row r="8" spans="1:9" x14ac:dyDescent="0.25">
      <c r="A8" s="2" t="s">
        <v>98</v>
      </c>
      <c r="B8" t="s">
        <v>99</v>
      </c>
      <c r="I8" s="3"/>
    </row>
    <row r="9" spans="1:9" x14ac:dyDescent="0.25">
      <c r="A9" s="2" t="s">
        <v>100</v>
      </c>
      <c r="B9" t="s">
        <v>101</v>
      </c>
      <c r="I9" s="3"/>
    </row>
    <row r="10" spans="1:9" x14ac:dyDescent="0.25">
      <c r="A10" s="2" t="s">
        <v>102</v>
      </c>
      <c r="B10" t="s">
        <v>103</v>
      </c>
      <c r="I10" s="3"/>
    </row>
    <row r="11" spans="1:9" x14ac:dyDescent="0.25">
      <c r="A11" s="2" t="s">
        <v>104</v>
      </c>
      <c r="B11" t="s">
        <v>105</v>
      </c>
      <c r="I11" s="3"/>
    </row>
    <row r="12" spans="1:9" x14ac:dyDescent="0.25">
      <c r="A12" s="2" t="s">
        <v>106</v>
      </c>
      <c r="B12" t="s">
        <v>107</v>
      </c>
      <c r="I12" s="3"/>
    </row>
    <row r="13" spans="1:18" x14ac:dyDescent="0.25">
      <c r="A13" s="4" t="s">
        <v>108</v>
      </c>
      <c r="B13" s="4"/>
      <c r="C13" s="4"/>
      <c r="D13" s="4"/>
      <c r="E13" s="4"/>
      <c r="F13" s="4"/>
      <c r="G13" s="4"/>
      <c r="H13" s="4"/>
      <c r="I13" s="4"/>
      <c r="J13" s="4"/>
      <c r="K13" s="4"/>
      <c r="L13" s="4"/>
      <c r="M13" s="4"/>
      <c r="N13" s="4"/>
      <c r="O13" s="4"/>
      <c r="P13" s="4"/>
      <c r="Q13" s="4"/>
      <c r="R13" s="4"/>
    </row>
    <row r="14" spans="1:18" x14ac:dyDescent="0.25">
      <c r="A14" s="4" t="s">
        <v>109</v>
      </c>
      <c r="B14" s="1" t="s">
        <v>110</v>
      </c>
      <c r="C14" s="1" t="s">
        <v>111</v>
      </c>
      <c r="D14" s="1" t="s">
        <v>112</v>
      </c>
      <c r="E14" s="1" t="s">
        <v>113</v>
      </c>
      <c r="F14" s="1" t="s">
        <v>114</v>
      </c>
      <c r="G14" s="1" t="s">
        <v>115</v>
      </c>
      <c r="H14" s="1" t="s">
        <v>116</v>
      </c>
      <c r="I14" s="5" t="s">
        <v>117</v>
      </c>
      <c r="J14" s="1" t="s">
        <v>118</v>
      </c>
      <c r="K14" s="1" t="s">
        <v>119</v>
      </c>
      <c r="L14" s="1" t="s">
        <v>120</v>
      </c>
      <c r="M14" s="1"/>
      <c r="N14" s="1" t="s">
        <v>121</v>
      </c>
      <c r="O14" s="1" t="s">
        <v>122</v>
      </c>
      <c r="P14" s="1"/>
      <c r="Q14" s="1"/>
      <c r="R14" s="1"/>
    </row>
    <row r="15" spans="1:18" x14ac:dyDescent="0.25">
      <c r="A15" s="4"/>
      <c r="B15" s="1"/>
      <c r="C15" s="1"/>
      <c r="D15" s="1"/>
      <c r="E15" s="1"/>
      <c r="F15" s="1"/>
      <c r="G15" s="1"/>
      <c r="H15" s="1"/>
      <c r="I15" s="5"/>
      <c r="J15" s="1"/>
      <c r="K15" s="1"/>
      <c r="L15" t="s">
        <v>123</v>
      </c>
      <c r="M15" t="s">
        <v>124</v>
      </c>
      <c r="N15" s="1"/>
      <c r="O15" t="s">
        <v>125</v>
      </c>
      <c r="P15" t="s">
        <v>126</v>
      </c>
      <c r="Q15" t="s">
        <v>127</v>
      </c>
      <c r="R15" t="s">
        <v>128</v>
      </c>
    </row>
    <row r="16" spans="1:18" x14ac:dyDescent="0.25">
      <c r="A16" s="4" t="s">
        <v>129</v>
      </c>
      <c r="B16" s="4"/>
      <c r="C16" s="4"/>
      <c r="D16" s="4"/>
      <c r="E16" s="4"/>
      <c r="F16" s="4"/>
      <c r="G16" s="4"/>
      <c r="H16" s="4"/>
      <c r="I16" s="4"/>
      <c r="J16" s="1" t="s">
        <v>130</v>
      </c>
      <c r="K16" s="1"/>
      <c r="L16" s="1"/>
      <c r="M16" s="1"/>
      <c r="N16" s="1"/>
      <c r="O16" s="1"/>
      <c r="P16" s="1"/>
      <c r="Q16" s="1"/>
      <c r="R16" s="1"/>
    </row>
    <row r="17" spans="1:18" x14ac:dyDescent="0.25">
      <c r="A17" s="4" t="s">
        <v>16</v>
      </c>
      <c r="B17" s="1" t="s">
        <v>14</v>
      </c>
      <c r="C17" s="1" t="s">
        <v>131</v>
      </c>
      <c r="D17" s="1" t="s">
        <v>16</v>
      </c>
      <c r="E17" s="1" t="s">
        <v>132</v>
      </c>
      <c r="F17" s="1" t="s">
        <v>133</v>
      </c>
      <c r="G17" s="1" t="s">
        <v>134</v>
      </c>
      <c r="H17" s="1" t="s">
        <v>17</v>
      </c>
      <c r="I17" s="5" t="s">
        <v>18</v>
      </c>
      <c r="J17" s="1" t="s">
        <v>135</v>
      </c>
      <c r="K17" s="1" t="s">
        <v>136</v>
      </c>
      <c r="L17" s="1" t="s">
        <v>136</v>
      </c>
      <c r="M17" s="1" t="s">
        <v>136</v>
      </c>
      <c r="N17" s="1" t="s">
        <v>136</v>
      </c>
      <c r="O17" s="1" t="s">
        <v>136</v>
      </c>
      <c r="P17" s="1" t="s">
        <v>136</v>
      </c>
      <c r="Q17" s="1" t="s">
        <v>136</v>
      </c>
      <c r="R17" s="1" t="s">
        <v>136</v>
      </c>
    </row>
    <row r="18" spans="1:18" x14ac:dyDescent="0.25">
      <c r="A18" s="4"/>
      <c r="B18" s="1"/>
      <c r="C18" t="s">
        <v>137</v>
      </c>
      <c r="E18" t="s">
        <v>138</v>
      </c>
      <c r="F18" t="s">
        <v>139</v>
      </c>
      <c r="G18" t="s">
        <v>140</v>
      </c>
      <c r="H18" t="s">
        <v>141</v>
      </c>
      <c r="I18" s="3" t="s">
        <v>142</v>
      </c>
      <c r="J18" s="1"/>
      <c r="K18" s="1"/>
      <c r="L18" s="1"/>
      <c r="M18" s="1"/>
      <c r="N18" s="1"/>
      <c r="O18" s="1"/>
      <c r="P18" s="1"/>
      <c r="Q18" s="1"/>
      <c r="R18" s="1"/>
    </row>
    <row r="19" spans="1:18" x14ac:dyDescent="0.25">
      <c r="A19" s="2"/>
      <c r="B19" t="s">
        <v>143</v>
      </c>
      <c r="C19" t="s">
        <v>143</v>
      </c>
      <c r="D19" t="s">
        <v>143</v>
      </c>
      <c r="E19" t="s">
        <v>143</v>
      </c>
      <c r="F19" t="s">
        <v>143</v>
      </c>
      <c r="G19" t="s">
        <v>143</v>
      </c>
      <c r="H19" t="s">
        <v>143</v>
      </c>
      <c r="I19" s="3" t="s">
        <v>143</v>
      </c>
      <c r="J19" t="s">
        <v>143</v>
      </c>
      <c r="K19" t="s">
        <v>143</v>
      </c>
      <c r="L19" t="s">
        <v>143</v>
      </c>
      <c r="M19" t="s">
        <v>143</v>
      </c>
      <c r="N19" t="s">
        <v>143</v>
      </c>
      <c r="O19" t="s">
        <v>143</v>
      </c>
      <c r="P19" t="s">
        <v>143</v>
      </c>
      <c r="Q19" t="s">
        <v>143</v>
      </c>
      <c r="R19" t="s">
        <v>143</v>
      </c>
    </row>
    <row r="20" spans="1:9" x14ac:dyDescent="0.25">
      <c r="A20" s="2" t="s">
        <v>9</v>
      </c>
      <c r="B20" t="s">
        <v>21</v>
      </c>
      <c r="C20" t="s">
        <v>144</v>
      </c>
      <c r="D20">
        <v>1</v>
      </c>
      <c r="E20" t="s">
        <v>145</v>
      </c>
      <c r="I20" s="3"/>
    </row>
    <row r="21" spans="1:9" x14ac:dyDescent="0.25">
      <c r="A21" s="2" t="s">
        <v>146</v>
      </c>
      <c r="B21" t="s">
        <v>23</v>
      </c>
      <c r="C21" t="s">
        <v>147</v>
      </c>
      <c r="I21" s="3"/>
    </row>
    <row r="22" spans="1:9" x14ac:dyDescent="0.25">
      <c r="A22" s="2"/>
      <c r="C22" t="s">
        <v>148</v>
      </c>
      <c r="D22">
        <v>1</v>
      </c>
      <c r="E22" t="s">
        <v>149</v>
      </c>
      <c r="I22" s="3"/>
    </row>
    <row r="23" spans="1:9" x14ac:dyDescent="0.25">
      <c r="A23" s="2" t="s">
        <v>45</v>
      </c>
      <c r="B23" t="s">
        <v>26</v>
      </c>
      <c r="C23" t="s">
        <v>147</v>
      </c>
      <c r="I23" s="3"/>
    </row>
    <row r="24" spans="1:9" x14ac:dyDescent="0.25">
      <c r="A24" s="2" t="s">
        <v>46</v>
      </c>
      <c r="C24" t="s">
        <v>47</v>
      </c>
      <c r="D24">
        <v>1</v>
      </c>
      <c r="I24" s="3"/>
    </row>
    <row r="25" spans="1:9" x14ac:dyDescent="0.25">
      <c r="A25" s="2"/>
      <c r="E25" t="s">
        <v>150</v>
      </c>
      <c r="I25" s="3"/>
    </row>
    <row r="26" spans="1:9" x14ac:dyDescent="0.25">
      <c r="A26" s="2" t="s">
        <v>48</v>
      </c>
      <c r="C26" t="s">
        <v>47</v>
      </c>
      <c r="D26">
        <v>27</v>
      </c>
      <c r="I26" s="3"/>
    </row>
    <row r="27" spans="1:9" x14ac:dyDescent="0.25">
      <c r="A27" s="2"/>
      <c r="E27" t="s">
        <v>151</v>
      </c>
      <c r="I27" s="3"/>
    </row>
    <row r="28" spans="1:9" x14ac:dyDescent="0.25">
      <c r="A28" s="2"/>
      <c r="E28" t="s">
        <v>152</v>
      </c>
      <c r="I28" s="3"/>
    </row>
    <row r="29" spans="1:9" x14ac:dyDescent="0.25">
      <c r="A29" s="2" t="s">
        <v>60</v>
      </c>
      <c r="B29" t="s">
        <v>26</v>
      </c>
      <c r="C29" t="s">
        <v>153</v>
      </c>
      <c r="I29" s="3"/>
    </row>
    <row r="30" spans="1:9" x14ac:dyDescent="0.25">
      <c r="A30" s="2" t="s">
        <v>51</v>
      </c>
      <c r="C30" t="s">
        <v>65</v>
      </c>
      <c r="D30">
        <v>20</v>
      </c>
      <c r="I30" s="3"/>
    </row>
    <row r="31" spans="1:9" x14ac:dyDescent="0.25">
      <c r="A31" s="2"/>
      <c r="E31" t="s">
        <v>154</v>
      </c>
      <c r="I31" s="3"/>
    </row>
    <row r="32" spans="1:9" x14ac:dyDescent="0.25">
      <c r="A32" s="2" t="s">
        <v>28</v>
      </c>
      <c r="B32" t="s">
        <v>29</v>
      </c>
      <c r="C32" t="s">
        <v>27</v>
      </c>
      <c r="I32" s="3"/>
    </row>
    <row r="33" spans="1:9" x14ac:dyDescent="0.25">
      <c r="A33" s="2"/>
      <c r="E33" t="s">
        <v>155</v>
      </c>
      <c r="I33" s="3"/>
    </row>
    <row r="34" spans="1:9" x14ac:dyDescent="0.25">
      <c r="A34" s="2" t="s">
        <v>85</v>
      </c>
      <c r="B34" t="s">
        <v>23</v>
      </c>
      <c r="C34" t="s">
        <v>156</v>
      </c>
      <c r="I34" s="3"/>
    </row>
    <row r="35" spans="1:9" x14ac:dyDescent="0.25">
      <c r="A35" s="2"/>
      <c r="D35">
        <v>1</v>
      </c>
      <c r="E35" t="s">
        <v>157</v>
      </c>
      <c r="I35" s="3"/>
    </row>
    <row r="36" spans="1:9" x14ac:dyDescent="0.25">
      <c r="A36" s="2"/>
      <c r="D36">
        <v>2</v>
      </c>
      <c r="E36" t="s">
        <v>158</v>
      </c>
      <c r="I36" s="3"/>
    </row>
  </sheetData>
  <mergeCells count="28">
    <mergeCell ref="A13:R13"/>
    <mergeCell ref="L14:M14"/>
    <mergeCell ref="O14:R14"/>
    <mergeCell ref="A14:A15"/>
    <mergeCell ref="B14:B15"/>
    <mergeCell ref="C14:C15"/>
    <mergeCell ref="D14:D15"/>
    <mergeCell ref="E14:E15"/>
    <mergeCell ref="F14:F15"/>
    <mergeCell ref="G14:G15"/>
    <mergeCell ref="H14:H15"/>
    <mergeCell ref="I14:I15"/>
    <mergeCell ref="J14:J15"/>
    <mergeCell ref="K14:K15"/>
    <mergeCell ref="N14:N15"/>
    <mergeCell ref="A16:I16"/>
    <mergeCell ref="J16:R16"/>
    <mergeCell ref="A17:A18"/>
    <mergeCell ref="B17:B18"/>
    <mergeCell ref="J17:J18"/>
    <mergeCell ref="K17:K18"/>
    <mergeCell ref="L17:L18"/>
    <mergeCell ref="M17:M18"/>
    <mergeCell ref="N17:N18"/>
    <mergeCell ref="O17:O18"/>
    <mergeCell ref="P17:P18"/>
    <mergeCell ref="Q17:Q18"/>
    <mergeCell ref="R17:R18"/>
  </mergeCells>
  <dataValidations count="2">
    <dataValidation type="list" allowBlank="1" sqref="C20:C36">
      <formula1>"ПИ,УПИ,Строеж,Сграда,Паркинг"</formula1>
    </dataValidation>
    <dataValidation type="list" allowBlank="1" sqref="G20:G36">
      <formula1>"Спешно и Важно,Спешно,Важно,Нито едно"</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102"/>
  <sheetViews>
    <sheetView workbookViewId="0">
      <pane ySplit="17" topLeftCell="A18" activePane="bottomLeft" state="frozen"/>
      <selection pane="bottomLeft"/>
    </sheetView>
  </sheetViews>
  <sheetFormatPr defaultRowHeight="15" outlineLevelRow="0" outlineLevelCol="0" x14ac:dyDescent="55"/>
  <cols>
    <col min="1" max="1" width="9" style="2" customWidth="1"/>
    <col min="10" max="10" width="9" style="3" customWidth="1"/>
  </cols>
  <sheetData>
    <row r="2" spans="1:10" x14ac:dyDescent="0.25">
      <c r="A2" s="2" t="s">
        <v>9</v>
      </c>
      <c r="B2" t="s">
        <v>159</v>
      </c>
      <c r="J2" s="3"/>
    </row>
    <row r="3" spans="1:10" x14ac:dyDescent="0.25">
      <c r="A3" s="2" t="s">
        <v>11</v>
      </c>
      <c r="B3" t="s">
        <v>160</v>
      </c>
      <c r="J3" s="3"/>
    </row>
    <row r="4" spans="1:10" x14ac:dyDescent="0.25">
      <c r="A4" s="2" t="s">
        <v>25</v>
      </c>
      <c r="B4" t="s">
        <v>161</v>
      </c>
      <c r="J4" s="3"/>
    </row>
    <row r="5" spans="1:10" x14ac:dyDescent="0.25">
      <c r="A5" s="2" t="s">
        <v>28</v>
      </c>
      <c r="B5" t="s">
        <v>162</v>
      </c>
      <c r="J5" s="3"/>
    </row>
    <row r="6" spans="1:10" x14ac:dyDescent="0.25">
      <c r="A6" s="2" t="s">
        <v>30</v>
      </c>
      <c r="B6" t="s">
        <v>163</v>
      </c>
      <c r="J6" s="3"/>
    </row>
    <row r="7" spans="1:10" x14ac:dyDescent="0.25">
      <c r="A7" s="2" t="s">
        <v>95</v>
      </c>
      <c r="B7" t="s">
        <v>164</v>
      </c>
      <c r="J7" s="3"/>
    </row>
    <row r="8" spans="1:10" x14ac:dyDescent="0.25">
      <c r="A8" s="2" t="s">
        <v>96</v>
      </c>
      <c r="B8" t="s">
        <v>103</v>
      </c>
      <c r="J8" s="3"/>
    </row>
    <row r="9" spans="1:10" x14ac:dyDescent="0.25">
      <c r="A9" s="2" t="s">
        <v>98</v>
      </c>
      <c r="B9" t="s">
        <v>105</v>
      </c>
      <c r="J9" s="3"/>
    </row>
    <row r="10" spans="1:10" x14ac:dyDescent="0.25">
      <c r="A10" s="2" t="s">
        <v>100</v>
      </c>
      <c r="B10" t="s">
        <v>107</v>
      </c>
      <c r="J10" s="3"/>
    </row>
    <row r="11" spans="1:18" x14ac:dyDescent="0.25">
      <c r="A11" s="4" t="s">
        <v>108</v>
      </c>
      <c r="B11" s="4"/>
      <c r="C11" s="4"/>
      <c r="D11" s="4"/>
      <c r="E11" s="4"/>
      <c r="F11" s="4"/>
      <c r="G11" s="4"/>
      <c r="H11" s="4"/>
      <c r="I11" s="4"/>
      <c r="J11" s="4"/>
      <c r="K11" s="4"/>
      <c r="L11" s="4"/>
      <c r="M11" s="4"/>
      <c r="N11" s="4"/>
      <c r="O11" s="4"/>
      <c r="P11" s="4"/>
      <c r="Q11" s="4"/>
      <c r="R11" s="4"/>
    </row>
    <row r="12" spans="1:18" x14ac:dyDescent="0.25">
      <c r="A12" s="4" t="s">
        <v>109</v>
      </c>
      <c r="B12" s="1" t="s">
        <v>110</v>
      </c>
      <c r="C12" s="1" t="s">
        <v>111</v>
      </c>
      <c r="D12" s="1" t="s">
        <v>112</v>
      </c>
      <c r="E12" s="1" t="s">
        <v>113</v>
      </c>
      <c r="F12" s="1" t="s">
        <v>114</v>
      </c>
      <c r="G12" s="1" t="s">
        <v>115</v>
      </c>
      <c r="H12" s="1" t="s">
        <v>116</v>
      </c>
      <c r="I12" s="1" t="s">
        <v>117</v>
      </c>
      <c r="J12" s="5" t="s">
        <v>118</v>
      </c>
      <c r="K12" s="1" t="s">
        <v>119</v>
      </c>
      <c r="L12" s="1" t="s">
        <v>120</v>
      </c>
      <c r="M12" s="1"/>
      <c r="N12" s="1" t="s">
        <v>121</v>
      </c>
      <c r="O12" s="1" t="s">
        <v>122</v>
      </c>
      <c r="P12" s="1"/>
      <c r="Q12" s="1"/>
      <c r="R12" s="1"/>
    </row>
    <row r="13" spans="1:18" x14ac:dyDescent="0.25">
      <c r="A13" s="4"/>
      <c r="B13" s="1"/>
      <c r="C13" s="1"/>
      <c r="D13" s="1"/>
      <c r="E13" s="1"/>
      <c r="F13" s="1"/>
      <c r="G13" s="1"/>
      <c r="H13" s="1"/>
      <c r="I13" s="1"/>
      <c r="J13" s="5"/>
      <c r="K13" s="1"/>
      <c r="L13" t="s">
        <v>123</v>
      </c>
      <c r="M13" t="s">
        <v>124</v>
      </c>
      <c r="N13" s="1"/>
      <c r="O13" t="s">
        <v>125</v>
      </c>
      <c r="P13" t="s">
        <v>126</v>
      </c>
      <c r="Q13" t="s">
        <v>127</v>
      </c>
      <c r="R13" t="s">
        <v>128</v>
      </c>
    </row>
    <row r="14" spans="1:23" x14ac:dyDescent="0.25">
      <c r="A14" s="4" t="s">
        <v>129</v>
      </c>
      <c r="B14" s="4"/>
      <c r="C14" s="4"/>
      <c r="D14" s="4"/>
      <c r="E14" s="4"/>
      <c r="F14" s="4"/>
      <c r="G14" s="4"/>
      <c r="H14" s="4"/>
      <c r="I14" s="4"/>
      <c r="J14" s="4"/>
      <c r="K14" s="1" t="s">
        <v>130</v>
      </c>
      <c r="L14" s="1"/>
      <c r="M14" s="1"/>
      <c r="N14" s="1"/>
      <c r="O14" s="1"/>
      <c r="P14" s="1"/>
      <c r="Q14" s="1"/>
      <c r="R14" s="1"/>
      <c r="S14" s="1"/>
      <c r="T14" s="1"/>
      <c r="U14" s="1"/>
      <c r="V14" s="1"/>
      <c r="W14" s="1"/>
    </row>
    <row r="15" spans="1:23" x14ac:dyDescent="0.25">
      <c r="A15" s="4" t="s">
        <v>16</v>
      </c>
      <c r="B15" s="1" t="s">
        <v>14</v>
      </c>
      <c r="C15" s="1" t="s">
        <v>165</v>
      </c>
      <c r="D15" s="1" t="s">
        <v>16</v>
      </c>
      <c r="E15" s="1" t="s">
        <v>166</v>
      </c>
      <c r="F15" s="1" t="s">
        <v>133</v>
      </c>
      <c r="G15" s="1"/>
      <c r="H15" s="1" t="s">
        <v>134</v>
      </c>
      <c r="I15" s="1" t="s">
        <v>17</v>
      </c>
      <c r="J15" s="5" t="s">
        <v>18</v>
      </c>
      <c r="K15" s="1" t="s">
        <v>135</v>
      </c>
      <c r="L15" s="1" t="s">
        <v>136</v>
      </c>
      <c r="M15" s="1" t="s">
        <v>136</v>
      </c>
      <c r="N15" s="1" t="s">
        <v>136</v>
      </c>
      <c r="O15" s="1" t="s">
        <v>136</v>
      </c>
      <c r="P15" s="1" t="s">
        <v>136</v>
      </c>
      <c r="Q15" s="1" t="s">
        <v>136</v>
      </c>
      <c r="R15" s="1" t="s">
        <v>136</v>
      </c>
      <c r="S15" s="1" t="s">
        <v>136</v>
      </c>
      <c r="T15" s="1" t="s">
        <v>136</v>
      </c>
      <c r="U15" s="1" t="s">
        <v>136</v>
      </c>
      <c r="V15" s="1" t="s">
        <v>136</v>
      </c>
      <c r="W15" s="1" t="s">
        <v>136</v>
      </c>
    </row>
    <row r="16" spans="1:23" x14ac:dyDescent="0.25">
      <c r="A16" s="4"/>
      <c r="B16" s="1"/>
      <c r="C16" t="s">
        <v>167</v>
      </c>
      <c r="E16" t="s">
        <v>168</v>
      </c>
      <c r="F16" t="s">
        <v>169</v>
      </c>
      <c r="G16" t="s">
        <v>170</v>
      </c>
      <c r="H16" t="s">
        <v>140</v>
      </c>
      <c r="I16" t="s">
        <v>141</v>
      </c>
      <c r="J16" s="3" t="s">
        <v>142</v>
      </c>
      <c r="K16" s="1"/>
      <c r="L16" s="1"/>
      <c r="M16" s="1"/>
      <c r="N16" s="1"/>
      <c r="O16" s="1"/>
      <c r="P16" s="1"/>
      <c r="Q16" s="1"/>
      <c r="R16" s="1"/>
      <c r="S16" s="1"/>
      <c r="T16" s="1"/>
      <c r="U16" s="1"/>
      <c r="V16" s="1"/>
      <c r="W16" s="1"/>
    </row>
    <row r="17" spans="1:23" x14ac:dyDescent="0.25">
      <c r="A17" s="2"/>
      <c r="B17" t="s">
        <v>143</v>
      </c>
      <c r="C17" t="s">
        <v>143</v>
      </c>
      <c r="D17" t="s">
        <v>143</v>
      </c>
      <c r="E17" t="s">
        <v>143</v>
      </c>
      <c r="F17" t="s">
        <v>143</v>
      </c>
      <c r="G17" t="s">
        <v>143</v>
      </c>
      <c r="H17" t="s">
        <v>143</v>
      </c>
      <c r="I17" t="s">
        <v>143</v>
      </c>
      <c r="J17" s="3" t="s">
        <v>143</v>
      </c>
      <c r="K17" t="s">
        <v>143</v>
      </c>
      <c r="L17" t="s">
        <v>143</v>
      </c>
      <c r="M17" t="s">
        <v>143</v>
      </c>
      <c r="N17" t="s">
        <v>143</v>
      </c>
      <c r="O17" t="s">
        <v>143</v>
      </c>
      <c r="P17" t="s">
        <v>143</v>
      </c>
      <c r="Q17" t="s">
        <v>143</v>
      </c>
      <c r="R17" t="s">
        <v>143</v>
      </c>
      <c r="S17" t="s">
        <v>143</v>
      </c>
      <c r="T17" t="s">
        <v>143</v>
      </c>
      <c r="U17" t="s">
        <v>143</v>
      </c>
      <c r="V17" t="s">
        <v>143</v>
      </c>
      <c r="W17" t="s">
        <v>143</v>
      </c>
    </row>
    <row r="18" spans="1:11" x14ac:dyDescent="0.25">
      <c r="A18" s="2" t="s">
        <v>9</v>
      </c>
      <c r="B18" t="s">
        <v>21</v>
      </c>
      <c r="C18" t="s">
        <v>144</v>
      </c>
      <c r="D18">
        <v>1</v>
      </c>
      <c r="E18" t="s">
        <v>145</v>
      </c>
      <c r="J18" s="3"/>
      <c r="K18" t="s">
        <v>171</v>
      </c>
    </row>
    <row r="19" spans="1:10" x14ac:dyDescent="0.25">
      <c r="A19" s="2" t="s">
        <v>146</v>
      </c>
      <c r="B19" t="s">
        <v>23</v>
      </c>
      <c r="C19" t="s">
        <v>147</v>
      </c>
      <c r="J19" s="3"/>
    </row>
    <row r="20" spans="1:10" x14ac:dyDescent="0.25">
      <c r="A20" s="2"/>
      <c r="C20" t="s">
        <v>148</v>
      </c>
      <c r="D20">
        <v>1</v>
      </c>
      <c r="J20" s="3"/>
    </row>
    <row r="21" spans="1:11" x14ac:dyDescent="0.25">
      <c r="A21" s="2"/>
      <c r="E21" t="s">
        <v>149</v>
      </c>
      <c r="J21" s="3"/>
      <c r="K21" t="s">
        <v>171</v>
      </c>
    </row>
    <row r="22" spans="1:10" x14ac:dyDescent="0.25">
      <c r="A22" s="2" t="s">
        <v>45</v>
      </c>
      <c r="B22" t="s">
        <v>26</v>
      </c>
      <c r="C22" t="s">
        <v>147</v>
      </c>
      <c r="J22" s="3"/>
    </row>
    <row r="23" spans="1:10" x14ac:dyDescent="0.25">
      <c r="A23" s="2" t="s">
        <v>46</v>
      </c>
      <c r="C23" t="s">
        <v>47</v>
      </c>
      <c r="D23">
        <v>1</v>
      </c>
      <c r="J23" s="3"/>
    </row>
    <row r="24" spans="1:11" x14ac:dyDescent="0.25">
      <c r="A24" s="2"/>
      <c r="E24" t="s">
        <v>150</v>
      </c>
      <c r="J24" s="3"/>
      <c r="K24" t="s">
        <v>171</v>
      </c>
    </row>
    <row r="25" spans="1:10" x14ac:dyDescent="0.25">
      <c r="A25" s="2" t="s">
        <v>48</v>
      </c>
      <c r="C25" t="s">
        <v>47</v>
      </c>
      <c r="D25">
        <v>27</v>
      </c>
      <c r="J25" s="3"/>
    </row>
    <row r="26" spans="1:11" x14ac:dyDescent="0.25">
      <c r="A26" s="2"/>
      <c r="E26" t="s">
        <v>151</v>
      </c>
      <c r="J26" s="3"/>
      <c r="K26" t="s">
        <v>171</v>
      </c>
    </row>
    <row r="27" spans="1:10" x14ac:dyDescent="0.25">
      <c r="A27" s="2"/>
      <c r="E27" t="s">
        <v>152</v>
      </c>
      <c r="J27" s="3"/>
    </row>
    <row r="28" spans="1:10" x14ac:dyDescent="0.25">
      <c r="A28" s="2" t="s">
        <v>60</v>
      </c>
      <c r="B28" t="s">
        <v>26</v>
      </c>
      <c r="C28" t="s">
        <v>153</v>
      </c>
      <c r="J28" s="3"/>
    </row>
    <row r="29" spans="1:10" x14ac:dyDescent="0.25">
      <c r="A29" s="2" t="s">
        <v>51</v>
      </c>
      <c r="C29" t="s">
        <v>65</v>
      </c>
      <c r="D29">
        <v>20</v>
      </c>
      <c r="J29" s="3"/>
    </row>
    <row r="30" spans="1:10" x14ac:dyDescent="0.25">
      <c r="A30" s="2"/>
      <c r="E30" t="s">
        <v>154</v>
      </c>
      <c r="J30" s="3"/>
    </row>
    <row r="31" spans="1:10" x14ac:dyDescent="0.25">
      <c r="A31" s="2" t="s">
        <v>28</v>
      </c>
      <c r="B31" t="s">
        <v>29</v>
      </c>
      <c r="C31" t="s">
        <v>27</v>
      </c>
      <c r="J31" s="3"/>
    </row>
    <row r="32" spans="1:11" x14ac:dyDescent="0.25">
      <c r="A32" s="2"/>
      <c r="E32" t="s">
        <v>155</v>
      </c>
      <c r="J32" s="3"/>
      <c r="K32" t="s">
        <v>171</v>
      </c>
    </row>
    <row r="33" spans="1:10" x14ac:dyDescent="0.25">
      <c r="A33" s="2" t="s">
        <v>85</v>
      </c>
      <c r="B33" t="s">
        <v>23</v>
      </c>
      <c r="C33" t="s">
        <v>156</v>
      </c>
      <c r="J33" s="3"/>
    </row>
    <row r="34" spans="1:11" x14ac:dyDescent="0.25">
      <c r="A34" s="2"/>
      <c r="D34">
        <v>1</v>
      </c>
      <c r="E34" t="s">
        <v>172</v>
      </c>
      <c r="J34" s="3"/>
      <c r="K34" t="s">
        <v>171</v>
      </c>
    </row>
    <row r="35" spans="1:11" x14ac:dyDescent="0.25">
      <c r="A35" s="2"/>
      <c r="D35">
        <v>2</v>
      </c>
      <c r="E35" t="s">
        <v>158</v>
      </c>
      <c r="J35" s="3"/>
      <c r="K35" t="s">
        <v>171</v>
      </c>
    </row>
    <row r="36" spans="1:10" x14ac:dyDescent="0.25">
      <c r="A36" s="4" t="s">
        <v>173</v>
      </c>
      <c r="B36" s="4"/>
      <c r="C36" s="4"/>
      <c r="D36" s="4"/>
      <c r="E36" s="4"/>
      <c r="F36" s="4"/>
      <c r="G36" s="4"/>
      <c r="H36" s="4"/>
      <c r="I36" s="4"/>
      <c r="J36" s="4"/>
    </row>
    <row r="37" spans="1:11" x14ac:dyDescent="0.25">
      <c r="A37" s="4" t="s">
        <v>174</v>
      </c>
      <c r="B37" s="4"/>
      <c r="C37" s="4"/>
      <c r="D37" s="4"/>
      <c r="E37" s="4"/>
      <c r="F37" s="4"/>
      <c r="G37" s="4"/>
      <c r="H37" s="4"/>
      <c r="I37" s="4"/>
      <c r="J37" s="4"/>
      <c r="K37" s="1" t="s">
        <v>175</v>
      </c>
    </row>
    <row r="38" spans="1:11" x14ac:dyDescent="0.25">
      <c r="A38" s="2" t="s">
        <v>38</v>
      </c>
      <c r="B38" t="s">
        <v>23</v>
      </c>
      <c r="C38" t="s">
        <v>39</v>
      </c>
      <c r="J38" s="3"/>
      <c r="K38" t="s">
        <v>175</v>
      </c>
    </row>
    <row r="39" spans="1:11" x14ac:dyDescent="0.25">
      <c r="A39" s="2" t="s">
        <v>146</v>
      </c>
      <c r="C39" t="s">
        <v>41</v>
      </c>
      <c r="D39">
        <v>1</v>
      </c>
      <c r="E39" t="s">
        <v>176</v>
      </c>
      <c r="J39" s="3"/>
      <c r="K39" t="s">
        <v>177</v>
      </c>
    </row>
    <row r="40" spans="1:11" x14ac:dyDescent="0.25">
      <c r="A40" s="2" t="s">
        <v>178</v>
      </c>
      <c r="C40" t="s">
        <v>41</v>
      </c>
      <c r="D40">
        <v>2</v>
      </c>
      <c r="E40" t="s">
        <v>176</v>
      </c>
      <c r="J40" s="3"/>
      <c r="K40" t="s">
        <v>177</v>
      </c>
    </row>
    <row r="41" spans="1:11" x14ac:dyDescent="0.25">
      <c r="A41" s="2" t="s">
        <v>179</v>
      </c>
      <c r="C41" t="s">
        <v>41</v>
      </c>
      <c r="D41">
        <v>3</v>
      </c>
      <c r="E41" t="s">
        <v>176</v>
      </c>
      <c r="J41" s="3"/>
      <c r="K41" t="s">
        <v>177</v>
      </c>
    </row>
    <row r="42" spans="1:11" x14ac:dyDescent="0.25">
      <c r="A42" s="2" t="s">
        <v>180</v>
      </c>
      <c r="C42" t="s">
        <v>41</v>
      </c>
      <c r="D42">
        <v>4</v>
      </c>
      <c r="E42" t="s">
        <v>176</v>
      </c>
      <c r="J42" s="3"/>
      <c r="K42" t="s">
        <v>177</v>
      </c>
    </row>
    <row r="43" spans="1:11" x14ac:dyDescent="0.25">
      <c r="A43" s="4" t="s">
        <v>181</v>
      </c>
      <c r="B43" s="4"/>
      <c r="C43" s="4"/>
      <c r="D43" s="4"/>
      <c r="E43" s="4"/>
      <c r="F43" s="4"/>
      <c r="G43" s="4"/>
      <c r="H43" s="4"/>
      <c r="I43" s="4"/>
      <c r="J43" s="4"/>
      <c r="K43" s="1" t="s">
        <v>175</v>
      </c>
    </row>
    <row r="44" spans="1:11" x14ac:dyDescent="0.25">
      <c r="A44" s="2" t="s">
        <v>45</v>
      </c>
      <c r="B44" t="s">
        <v>26</v>
      </c>
      <c r="C44" t="s">
        <v>39</v>
      </c>
      <c r="J44" s="3"/>
      <c r="K44" t="s">
        <v>175</v>
      </c>
    </row>
    <row r="45" spans="1:11" x14ac:dyDescent="0.25">
      <c r="A45" s="2" t="s">
        <v>46</v>
      </c>
      <c r="C45" t="s">
        <v>47</v>
      </c>
      <c r="D45">
        <v>1</v>
      </c>
      <c r="E45" t="s">
        <v>182</v>
      </c>
      <c r="J45" s="3"/>
      <c r="K45" t="s">
        <v>177</v>
      </c>
    </row>
    <row r="46" spans="1:11" x14ac:dyDescent="0.25">
      <c r="A46" s="2" t="s">
        <v>48</v>
      </c>
      <c r="C46" t="s">
        <v>47</v>
      </c>
      <c r="D46">
        <v>27</v>
      </c>
      <c r="E46" t="s">
        <v>182</v>
      </c>
      <c r="J46" s="3"/>
      <c r="K46" t="s">
        <v>177</v>
      </c>
    </row>
    <row r="47" spans="1:11" x14ac:dyDescent="0.25">
      <c r="A47" s="2" t="s">
        <v>49</v>
      </c>
      <c r="C47" t="s">
        <v>50</v>
      </c>
      <c r="D47">
        <v>8</v>
      </c>
      <c r="E47" t="s">
        <v>182</v>
      </c>
      <c r="J47" s="3"/>
      <c r="K47" t="s">
        <v>177</v>
      </c>
    </row>
    <row r="48" spans="1:11" x14ac:dyDescent="0.25">
      <c r="A48" s="2" t="s">
        <v>51</v>
      </c>
      <c r="C48" t="s">
        <v>50</v>
      </c>
      <c r="D48">
        <v>20</v>
      </c>
      <c r="E48" t="s">
        <v>182</v>
      </c>
      <c r="J48" s="3"/>
      <c r="K48" t="s">
        <v>177</v>
      </c>
    </row>
    <row r="49" spans="1:11" x14ac:dyDescent="0.25">
      <c r="A49" s="2" t="s">
        <v>52</v>
      </c>
      <c r="C49" t="s">
        <v>50</v>
      </c>
      <c r="D49">
        <v>23</v>
      </c>
      <c r="E49" t="s">
        <v>182</v>
      </c>
      <c r="J49" s="3"/>
      <c r="K49" t="s">
        <v>177</v>
      </c>
    </row>
    <row r="50" spans="1:11" x14ac:dyDescent="0.25">
      <c r="A50" s="2" t="s">
        <v>53</v>
      </c>
      <c r="C50" t="s">
        <v>54</v>
      </c>
      <c r="D50">
        <v>1</v>
      </c>
      <c r="E50" t="s">
        <v>182</v>
      </c>
      <c r="J50" s="3"/>
      <c r="K50" t="s">
        <v>177</v>
      </c>
    </row>
    <row r="51" spans="1:11" x14ac:dyDescent="0.25">
      <c r="A51" s="2" t="s">
        <v>55</v>
      </c>
      <c r="C51" t="s">
        <v>54</v>
      </c>
      <c r="D51">
        <v>2</v>
      </c>
      <c r="E51" t="s">
        <v>182</v>
      </c>
      <c r="J51" s="3"/>
      <c r="K51" t="s">
        <v>177</v>
      </c>
    </row>
    <row r="52" spans="1:11" x14ac:dyDescent="0.25">
      <c r="A52" s="2" t="s">
        <v>56</v>
      </c>
      <c r="C52" t="s">
        <v>54</v>
      </c>
      <c r="D52">
        <v>3</v>
      </c>
      <c r="E52" t="s">
        <v>182</v>
      </c>
      <c r="J52" s="3"/>
      <c r="K52" t="s">
        <v>177</v>
      </c>
    </row>
    <row r="53" spans="1:11" x14ac:dyDescent="0.25">
      <c r="A53" s="2" t="s">
        <v>57</v>
      </c>
      <c r="C53" t="s">
        <v>54</v>
      </c>
      <c r="D53">
        <v>4</v>
      </c>
      <c r="E53" t="s">
        <v>182</v>
      </c>
      <c r="J53" s="3"/>
      <c r="K53" t="s">
        <v>177</v>
      </c>
    </row>
    <row r="54" spans="1:11" x14ac:dyDescent="0.25">
      <c r="A54" s="2" t="s">
        <v>58</v>
      </c>
      <c r="C54" t="s">
        <v>54</v>
      </c>
      <c r="D54">
        <v>5</v>
      </c>
      <c r="E54" t="s">
        <v>182</v>
      </c>
      <c r="J54" s="3"/>
      <c r="K54" t="s">
        <v>177</v>
      </c>
    </row>
    <row r="55" spans="1:11" x14ac:dyDescent="0.25">
      <c r="A55" s="2" t="s">
        <v>59</v>
      </c>
      <c r="C55" t="s">
        <v>54</v>
      </c>
      <c r="D55">
        <v>6</v>
      </c>
      <c r="E55" t="s">
        <v>182</v>
      </c>
      <c r="J55" s="3"/>
      <c r="K55" t="s">
        <v>177</v>
      </c>
    </row>
    <row r="56" spans="1:11" x14ac:dyDescent="0.25">
      <c r="A56" s="2" t="s">
        <v>60</v>
      </c>
      <c r="B56" t="s">
        <v>26</v>
      </c>
      <c r="C56" t="s">
        <v>61</v>
      </c>
      <c r="J56" s="3"/>
      <c r="K56" t="s">
        <v>175</v>
      </c>
    </row>
    <row r="57" spans="1:11" x14ac:dyDescent="0.25">
      <c r="A57" s="2" t="s">
        <v>62</v>
      </c>
      <c r="C57" t="s">
        <v>63</v>
      </c>
      <c r="D57">
        <v>11</v>
      </c>
      <c r="E57" t="s">
        <v>182</v>
      </c>
      <c r="J57" s="3"/>
      <c r="K57" t="s">
        <v>177</v>
      </c>
    </row>
    <row r="58" spans="1:11" x14ac:dyDescent="0.25">
      <c r="A58" s="2" t="s">
        <v>64</v>
      </c>
      <c r="C58" t="s">
        <v>65</v>
      </c>
      <c r="D58">
        <v>13</v>
      </c>
      <c r="E58" t="s">
        <v>182</v>
      </c>
      <c r="J58" s="3"/>
      <c r="K58" t="s">
        <v>177</v>
      </c>
    </row>
    <row r="59" spans="1:11" x14ac:dyDescent="0.25">
      <c r="A59" s="2" t="s">
        <v>66</v>
      </c>
      <c r="C59" t="s">
        <v>65</v>
      </c>
      <c r="D59">
        <v>18</v>
      </c>
      <c r="E59" t="s">
        <v>182</v>
      </c>
      <c r="J59" s="3"/>
      <c r="K59" t="s">
        <v>177</v>
      </c>
    </row>
    <row r="60" spans="1:11" x14ac:dyDescent="0.25">
      <c r="A60" s="2" t="s">
        <v>67</v>
      </c>
      <c r="C60" t="s">
        <v>65</v>
      </c>
      <c r="D60">
        <v>20</v>
      </c>
      <c r="E60" t="s">
        <v>182</v>
      </c>
      <c r="J60" s="3"/>
      <c r="K60" t="s">
        <v>177</v>
      </c>
    </row>
    <row r="61" spans="1:11" x14ac:dyDescent="0.25">
      <c r="A61" s="2" t="s">
        <v>68</v>
      </c>
      <c r="C61" t="s">
        <v>65</v>
      </c>
      <c r="D61">
        <v>22</v>
      </c>
      <c r="E61" t="s">
        <v>182</v>
      </c>
      <c r="J61" s="3"/>
      <c r="K61" t="s">
        <v>177</v>
      </c>
    </row>
    <row r="62" spans="1:11" x14ac:dyDescent="0.25">
      <c r="A62" s="2" t="s">
        <v>69</v>
      </c>
      <c r="C62" t="s">
        <v>65</v>
      </c>
      <c r="D62">
        <v>23</v>
      </c>
      <c r="E62" t="s">
        <v>182</v>
      </c>
      <c r="J62" s="3"/>
      <c r="K62" t="s">
        <v>177</v>
      </c>
    </row>
    <row r="63" spans="1:11" x14ac:dyDescent="0.25">
      <c r="A63" s="2" t="s">
        <v>183</v>
      </c>
      <c r="B63" t="s">
        <v>31</v>
      </c>
      <c r="C63" t="s">
        <v>61</v>
      </c>
      <c r="J63" s="3"/>
      <c r="K63" t="s">
        <v>175</v>
      </c>
    </row>
    <row r="64" spans="1:11" x14ac:dyDescent="0.25">
      <c r="A64" s="2" t="s">
        <v>71</v>
      </c>
      <c r="C64" t="s">
        <v>65</v>
      </c>
      <c r="D64">
        <v>1</v>
      </c>
      <c r="E64" t="s">
        <v>182</v>
      </c>
      <c r="J64" s="3"/>
      <c r="K64" t="s">
        <v>177</v>
      </c>
    </row>
    <row r="65" spans="1:11" x14ac:dyDescent="0.25">
      <c r="A65" s="2" t="s">
        <v>72</v>
      </c>
      <c r="C65" t="s">
        <v>65</v>
      </c>
      <c r="D65">
        <v>2</v>
      </c>
      <c r="E65" t="s">
        <v>182</v>
      </c>
      <c r="J65" s="3"/>
      <c r="K65" t="s">
        <v>177</v>
      </c>
    </row>
    <row r="66" spans="1:11" x14ac:dyDescent="0.25">
      <c r="A66" s="2" t="s">
        <v>73</v>
      </c>
      <c r="C66" t="s">
        <v>65</v>
      </c>
      <c r="D66">
        <v>3</v>
      </c>
      <c r="E66" t="s">
        <v>182</v>
      </c>
      <c r="J66" s="3"/>
      <c r="K66" t="s">
        <v>177</v>
      </c>
    </row>
    <row r="67" spans="1:11" x14ac:dyDescent="0.25">
      <c r="A67" s="2" t="s">
        <v>74</v>
      </c>
      <c r="C67" t="s">
        <v>65</v>
      </c>
      <c r="D67">
        <v>4</v>
      </c>
      <c r="E67" t="s">
        <v>182</v>
      </c>
      <c r="J67" s="3"/>
      <c r="K67" t="s">
        <v>177</v>
      </c>
    </row>
    <row r="68" spans="1:11" x14ac:dyDescent="0.25">
      <c r="A68" s="2" t="s">
        <v>75</v>
      </c>
      <c r="C68" t="s">
        <v>65</v>
      </c>
      <c r="D68">
        <v>5</v>
      </c>
      <c r="E68" t="s">
        <v>182</v>
      </c>
      <c r="J68" s="3"/>
      <c r="K68" t="s">
        <v>177</v>
      </c>
    </row>
    <row r="69" spans="1:11" x14ac:dyDescent="0.25">
      <c r="A69" s="2" t="s">
        <v>76</v>
      </c>
      <c r="C69" t="s">
        <v>65</v>
      </c>
      <c r="D69">
        <v>6</v>
      </c>
      <c r="E69" t="s">
        <v>182</v>
      </c>
      <c r="J69" s="3"/>
      <c r="K69" t="s">
        <v>177</v>
      </c>
    </row>
    <row r="70" spans="1:11" x14ac:dyDescent="0.25">
      <c r="A70" s="2" t="s">
        <v>77</v>
      </c>
      <c r="C70" t="s">
        <v>65</v>
      </c>
      <c r="D70">
        <v>7</v>
      </c>
      <c r="E70" t="s">
        <v>182</v>
      </c>
      <c r="J70" s="3"/>
      <c r="K70" t="s">
        <v>177</v>
      </c>
    </row>
    <row r="71" spans="1:11" x14ac:dyDescent="0.25">
      <c r="A71" s="2" t="s">
        <v>184</v>
      </c>
      <c r="B71" t="s">
        <v>23</v>
      </c>
      <c r="C71" t="s">
        <v>185</v>
      </c>
      <c r="J71" s="3"/>
      <c r="K71" t="s">
        <v>175</v>
      </c>
    </row>
    <row r="72" spans="1:11" x14ac:dyDescent="0.25">
      <c r="A72" s="2" t="s">
        <v>85</v>
      </c>
      <c r="C72" t="s">
        <v>86</v>
      </c>
      <c r="D72">
        <v>1</v>
      </c>
      <c r="E72" t="s">
        <v>186</v>
      </c>
      <c r="J72" s="3"/>
      <c r="K72" t="s">
        <v>187</v>
      </c>
    </row>
    <row r="73" spans="1:11" x14ac:dyDescent="0.25">
      <c r="A73" s="2"/>
      <c r="C73" t="s">
        <v>188</v>
      </c>
      <c r="E73" t="s">
        <v>186</v>
      </c>
      <c r="J73" s="3"/>
      <c r="K73" t="s">
        <v>87</v>
      </c>
    </row>
    <row r="74" spans="1:11" x14ac:dyDescent="0.25">
      <c r="A74" s="4" t="s">
        <v>189</v>
      </c>
      <c r="B74" s="4"/>
      <c r="C74" s="4"/>
      <c r="D74" s="4"/>
      <c r="E74" s="4"/>
      <c r="F74" s="4"/>
      <c r="G74" s="4"/>
      <c r="H74" s="4"/>
      <c r="I74" s="4"/>
      <c r="J74" s="4"/>
      <c r="K74" s="4"/>
    </row>
    <row r="75" spans="1:11" x14ac:dyDescent="0.25">
      <c r="A75" s="2"/>
      <c r="B75" t="s">
        <v>190</v>
      </c>
      <c r="J75" s="3"/>
      <c r="K75" t="s">
        <v>175</v>
      </c>
    </row>
    <row r="76" spans="1:11" x14ac:dyDescent="0.25">
      <c r="A76" s="2"/>
      <c r="C76" t="s">
        <v>191</v>
      </c>
      <c r="E76" t="s">
        <v>192</v>
      </c>
      <c r="J76" s="3"/>
      <c r="K76" t="s">
        <v>193</v>
      </c>
    </row>
    <row r="77" spans="1:11" x14ac:dyDescent="0.25">
      <c r="A77" s="2"/>
      <c r="C77" t="s">
        <v>194</v>
      </c>
      <c r="E77" t="s">
        <v>192</v>
      </c>
      <c r="J77" s="3"/>
      <c r="K77" t="s">
        <v>193</v>
      </c>
    </row>
    <row r="78" spans="1:11" x14ac:dyDescent="0.25">
      <c r="A78" s="2"/>
      <c r="C78" t="s">
        <v>195</v>
      </c>
      <c r="E78" t="s">
        <v>192</v>
      </c>
      <c r="J78" s="3"/>
      <c r="K78" t="s">
        <v>193</v>
      </c>
    </row>
    <row r="79" spans="1:11" x14ac:dyDescent="0.25">
      <c r="A79" s="2"/>
      <c r="C79" t="s">
        <v>196</v>
      </c>
      <c r="E79" t="s">
        <v>192</v>
      </c>
      <c r="J79" s="3"/>
      <c r="K79" t="s">
        <v>193</v>
      </c>
    </row>
    <row r="80" spans="1:11" x14ac:dyDescent="0.25">
      <c r="A80" s="2"/>
      <c r="B80" t="s">
        <v>197</v>
      </c>
      <c r="E80" t="s">
        <v>192</v>
      </c>
      <c r="J80" s="3"/>
      <c r="K80" t="s">
        <v>175</v>
      </c>
    </row>
    <row r="81" spans="1:11" x14ac:dyDescent="0.25">
      <c r="A81" s="2"/>
      <c r="B81" t="s">
        <v>198</v>
      </c>
      <c r="E81" t="s">
        <v>199</v>
      </c>
      <c r="J81" s="3"/>
      <c r="K81" t="s">
        <v>175</v>
      </c>
    </row>
    <row r="82" spans="1:11" x14ac:dyDescent="0.25">
      <c r="A82" s="2"/>
      <c r="B82" t="s">
        <v>200</v>
      </c>
      <c r="E82" t="s">
        <v>201</v>
      </c>
      <c r="J82" s="3"/>
      <c r="K82" t="s">
        <v>175</v>
      </c>
    </row>
    <row r="83" spans="1:11" x14ac:dyDescent="0.25">
      <c r="A83" s="2"/>
      <c r="B83" t="s">
        <v>202</v>
      </c>
      <c r="J83" s="3"/>
      <c r="K83" t="s">
        <v>175</v>
      </c>
    </row>
    <row r="84" spans="1:10" x14ac:dyDescent="0.25">
      <c r="A84" s="2"/>
      <c r="C84" t="s">
        <v>203</v>
      </c>
      <c r="E84" t="s">
        <v>204</v>
      </c>
      <c r="J84" s="3"/>
    </row>
    <row r="85" spans="1:10" x14ac:dyDescent="0.25">
      <c r="A85" s="2"/>
      <c r="C85" t="s">
        <v>205</v>
      </c>
      <c r="E85" t="s">
        <v>204</v>
      </c>
      <c r="J85" s="3"/>
    </row>
    <row r="86" spans="1:10" x14ac:dyDescent="0.25">
      <c r="A86" s="2"/>
      <c r="C86" t="s">
        <v>206</v>
      </c>
      <c r="E86" t="s">
        <v>204</v>
      </c>
      <c r="J86" s="3"/>
    </row>
    <row r="87" spans="1:10" x14ac:dyDescent="0.25">
      <c r="A87" s="2"/>
      <c r="B87" t="s">
        <v>207</v>
      </c>
      <c r="E87" t="s">
        <v>204</v>
      </c>
      <c r="J87" s="3"/>
    </row>
    <row r="88" spans="1:11" x14ac:dyDescent="0.25">
      <c r="A88" s="2"/>
      <c r="B88" t="s">
        <v>208</v>
      </c>
      <c r="E88" t="s">
        <v>209</v>
      </c>
      <c r="J88" s="3"/>
      <c r="K88" t="s">
        <v>175</v>
      </c>
    </row>
    <row r="89" spans="1:11" x14ac:dyDescent="0.25">
      <c r="A89" s="2" t="s">
        <v>184</v>
      </c>
      <c r="B89" t="s">
        <v>23</v>
      </c>
      <c r="C89" t="s">
        <v>185</v>
      </c>
      <c r="J89" s="3"/>
      <c r="K89" t="s">
        <v>210</v>
      </c>
    </row>
    <row r="90" spans="1:11" x14ac:dyDescent="0.25">
      <c r="A90" s="2" t="s">
        <v>85</v>
      </c>
      <c r="C90" t="s">
        <v>86</v>
      </c>
      <c r="D90">
        <v>1</v>
      </c>
      <c r="E90" t="s">
        <v>186</v>
      </c>
      <c r="J90" s="3"/>
      <c r="K90" t="s">
        <v>211</v>
      </c>
    </row>
    <row r="91" spans="1:11" x14ac:dyDescent="0.25">
      <c r="A91" s="2" t="s">
        <v>87</v>
      </c>
      <c r="C91" t="s">
        <v>188</v>
      </c>
      <c r="J91" s="3"/>
      <c r="K91" t="s">
        <v>87</v>
      </c>
    </row>
    <row r="93" spans="1:11" x14ac:dyDescent="0.25">
      <c r="A93" s="4" t="s">
        <v>212</v>
      </c>
      <c r="B93" s="4"/>
      <c r="C93" s="4"/>
      <c r="D93" s="4"/>
      <c r="E93" s="4"/>
      <c r="F93" s="4"/>
      <c r="G93" s="4"/>
      <c r="H93" s="4"/>
      <c r="I93" s="4"/>
      <c r="J93" s="4"/>
      <c r="K93" s="4"/>
    </row>
    <row r="94" spans="1:11" x14ac:dyDescent="0.25">
      <c r="A94" s="2" t="s">
        <v>213</v>
      </c>
      <c r="B94" s="3" t="s">
        <v>214</v>
      </c>
      <c r="C94" s="3"/>
      <c r="D94" s="3"/>
      <c r="E94" s="3"/>
      <c r="F94" s="3"/>
      <c r="G94" s="3"/>
      <c r="H94" s="3"/>
      <c r="I94" s="3"/>
      <c r="J94" s="3"/>
      <c r="K94" s="3"/>
    </row>
    <row r="95" spans="1:11" x14ac:dyDescent="0.25">
      <c r="A95" s="2"/>
      <c r="B95" s="3"/>
      <c r="C95" s="3"/>
      <c r="D95" s="3"/>
      <c r="E95" s="3"/>
      <c r="F95" s="3"/>
      <c r="G95" s="3"/>
      <c r="H95" s="3"/>
      <c r="I95" s="3"/>
      <c r="J95" s="3"/>
      <c r="K95" s="3"/>
    </row>
    <row r="96" spans="1:11" x14ac:dyDescent="0.25">
      <c r="A96" s="2"/>
      <c r="B96" s="3"/>
      <c r="C96" s="3"/>
      <c r="D96" s="3"/>
      <c r="E96" s="3"/>
      <c r="F96" s="3"/>
      <c r="G96" s="3"/>
      <c r="H96" s="3"/>
      <c r="I96" s="3"/>
      <c r="J96" s="3"/>
      <c r="K96" s="3"/>
    </row>
    <row r="97" spans="1:11" x14ac:dyDescent="0.25">
      <c r="A97" s="2"/>
      <c r="B97" s="3"/>
      <c r="C97" s="3"/>
      <c r="D97" s="3"/>
      <c r="E97" s="3"/>
      <c r="F97" s="3"/>
      <c r="G97" s="3"/>
      <c r="H97" s="3"/>
      <c r="I97" s="3"/>
      <c r="J97" s="3"/>
      <c r="K97" s="3"/>
    </row>
    <row r="98" spans="1:11" x14ac:dyDescent="0.25">
      <c r="A98" s="2"/>
      <c r="B98" s="3"/>
      <c r="C98" s="3"/>
      <c r="D98" s="3"/>
      <c r="E98" s="3"/>
      <c r="F98" s="3"/>
      <c r="G98" s="3"/>
      <c r="H98" s="3"/>
      <c r="I98" s="3"/>
      <c r="J98" s="3"/>
      <c r="K98" s="3"/>
    </row>
    <row r="99" spans="1:11" x14ac:dyDescent="0.25">
      <c r="A99" s="2"/>
      <c r="B99" s="3"/>
      <c r="C99" s="3"/>
      <c r="D99" s="3"/>
      <c r="E99" s="3"/>
      <c r="F99" s="3"/>
      <c r="G99" s="3"/>
      <c r="H99" s="3"/>
      <c r="I99" s="3"/>
      <c r="J99" s="3"/>
      <c r="K99" s="3"/>
    </row>
    <row r="100" spans="1:11" x14ac:dyDescent="0.25">
      <c r="A100" s="2" t="s">
        <v>215</v>
      </c>
      <c r="B100" s="3"/>
      <c r="C100" s="3"/>
      <c r="D100" s="3"/>
      <c r="E100" s="3"/>
      <c r="F100" s="3"/>
      <c r="G100" s="3"/>
      <c r="H100" s="3"/>
      <c r="I100" s="3"/>
      <c r="J100" s="3"/>
      <c r="K100" s="3"/>
    </row>
    <row r="101" spans="1:11" x14ac:dyDescent="0.25">
      <c r="A101" s="2"/>
      <c r="B101" s="3"/>
      <c r="C101" s="3"/>
      <c r="D101" s="3"/>
      <c r="E101" s="3"/>
      <c r="F101" s="3"/>
      <c r="G101" s="3"/>
      <c r="H101" s="3"/>
      <c r="I101" s="3"/>
      <c r="J101" s="3"/>
      <c r="K101" s="3"/>
    </row>
    <row r="102" spans="1:11" x14ac:dyDescent="0.25">
      <c r="A102" s="2"/>
      <c r="B102" s="3"/>
      <c r="C102" s="3"/>
      <c r="D102" s="3"/>
      <c r="E102" s="3"/>
      <c r="F102" s="3"/>
      <c r="G102" s="3"/>
      <c r="H102" s="3"/>
      <c r="I102" s="3"/>
      <c r="J102" s="3"/>
      <c r="K102" s="3"/>
    </row>
  </sheetData>
  <mergeCells count="39">
    <mergeCell ref="A11:R11"/>
    <mergeCell ref="L12:M12"/>
    <mergeCell ref="O12:R12"/>
    <mergeCell ref="A12:A13"/>
    <mergeCell ref="B12:B13"/>
    <mergeCell ref="C12:C13"/>
    <mergeCell ref="D12:D13"/>
    <mergeCell ref="E12:E13"/>
    <mergeCell ref="F12:F13"/>
    <mergeCell ref="G12:G13"/>
    <mergeCell ref="H12:H13"/>
    <mergeCell ref="I12:I13"/>
    <mergeCell ref="J12:J13"/>
    <mergeCell ref="K12:K13"/>
    <mergeCell ref="N12:N13"/>
    <mergeCell ref="A14:J14"/>
    <mergeCell ref="K14:W14"/>
    <mergeCell ref="F15:G15"/>
    <mergeCell ref="A15:A16"/>
    <mergeCell ref="B15:B16"/>
    <mergeCell ref="K15:K16"/>
    <mergeCell ref="L15:L16"/>
    <mergeCell ref="M15:M16"/>
    <mergeCell ref="N15:N16"/>
    <mergeCell ref="O15:O16"/>
    <mergeCell ref="P15:P16"/>
    <mergeCell ref="Q15:Q16"/>
    <mergeCell ref="R15:R16"/>
    <mergeCell ref="S15:S16"/>
    <mergeCell ref="T15:T16"/>
    <mergeCell ref="U15:U16"/>
    <mergeCell ref="V15:V16"/>
    <mergeCell ref="W15:W16"/>
    <mergeCell ref="A36:J36"/>
    <mergeCell ref="A37:J37"/>
    <mergeCell ref="A43:J43"/>
    <mergeCell ref="A74:K74"/>
    <mergeCell ref="A93:K93"/>
    <mergeCell ref="B94:K102"/>
  </mergeCells>
  <dataValidations count="1">
    <dataValidation type="list" allowBlank="1" sqref="E39:E91">
      <formula1>"Въвеждане,Сверяване с Банкови Извлечения,Вкарване,Сметнато,Вкарано,Прочетено (Сверено)"</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9"/>
  <sheetFormatPr defaultRowHeight="15" outlineLevelRow="0" outlineLevelCol="0" x14ac:dyDescent="55"/>
  <sheetData>
    <row r="2" spans="1:6" x14ac:dyDescent="0.25">
      <c r="A2" s="1" t="s">
        <v>216</v>
      </c>
      <c r="B2" s="1"/>
      <c r="C2" s="1"/>
      <c r="D2" s="1"/>
      <c r="E2" s="1"/>
      <c r="F2" s="1"/>
    </row>
    <row r="3" spans="1:6" x14ac:dyDescent="0.25">
      <c r="A3" s="1" t="s">
        <v>16</v>
      </c>
      <c r="B3" s="1" t="s">
        <v>1</v>
      </c>
      <c r="C3" s="1" t="s">
        <v>3</v>
      </c>
      <c r="D3" s="1" t="s">
        <v>2</v>
      </c>
      <c r="E3" s="1" t="s">
        <v>217</v>
      </c>
      <c r="F3" s="1" t="s">
        <v>218</v>
      </c>
    </row>
    <row r="4" spans="1:6" x14ac:dyDescent="0.25">
      <c r="A4" t="s">
        <v>9</v>
      </c>
      <c r="B4" t="s">
        <v>219</v>
      </c>
      <c r="C4" t="s">
        <v>220</v>
      </c>
      <c r="D4" t="s">
        <v>221</v>
      </c>
      <c r="E4" t="s">
        <v>222</v>
      </c>
      <c r="F4" t="s">
        <v>223</v>
      </c>
    </row>
    <row r="6" spans="1:6" x14ac:dyDescent="0.25">
      <c r="A6" s="1" t="s">
        <v>224</v>
      </c>
      <c r="B6" s="1"/>
      <c r="C6" s="1"/>
      <c r="D6" s="1"/>
      <c r="E6" s="1"/>
      <c r="F6" s="1"/>
    </row>
    <row r="7" spans="1:6" x14ac:dyDescent="0.25">
      <c r="A7" s="1" t="s">
        <v>16</v>
      </c>
      <c r="B7" s="1" t="s">
        <v>225</v>
      </c>
      <c r="C7" s="1" t="s">
        <v>3</v>
      </c>
      <c r="D7" s="1" t="s">
        <v>2</v>
      </c>
      <c r="E7" s="1" t="s">
        <v>217</v>
      </c>
      <c r="F7" s="1" t="s">
        <v>218</v>
      </c>
    </row>
    <row r="8" spans="1:6" x14ac:dyDescent="0.25">
      <c r="A8" t="s">
        <v>9</v>
      </c>
      <c r="B8" t="s">
        <v>226</v>
      </c>
      <c r="C8" t="s">
        <v>227</v>
      </c>
      <c r="D8" t="s">
        <v>228</v>
      </c>
      <c r="F8" t="s">
        <v>229</v>
      </c>
    </row>
    <row r="9" spans="1:6" x14ac:dyDescent="0.25">
      <c r="A9" t="s">
        <v>11</v>
      </c>
      <c r="B9" t="s">
        <v>230</v>
      </c>
      <c r="C9" t="s">
        <v>231</v>
      </c>
      <c r="D9" t="s">
        <v>232</v>
      </c>
      <c r="F9" t="s">
        <v>229</v>
      </c>
    </row>
    <row r="10" spans="1:6" x14ac:dyDescent="0.25">
      <c r="A10" t="s">
        <v>25</v>
      </c>
      <c r="B10" t="s">
        <v>233</v>
      </c>
      <c r="C10" t="s">
        <v>234</v>
      </c>
      <c r="D10" t="s">
        <v>235</v>
      </c>
      <c r="F10" t="s">
        <v>236</v>
      </c>
    </row>
    <row r="11" spans="1:6" x14ac:dyDescent="0.25">
      <c r="A11" t="s">
        <v>28</v>
      </c>
      <c r="B11" t="s">
        <v>237</v>
      </c>
      <c r="F11" t="s">
        <v>238</v>
      </c>
    </row>
    <row r="12" spans="1:6" x14ac:dyDescent="0.25">
      <c r="A12" t="s">
        <v>30</v>
      </c>
      <c r="B12" t="s">
        <v>239</v>
      </c>
      <c r="F12" t="s">
        <v>238</v>
      </c>
    </row>
    <row r="14" spans="2:2" x14ac:dyDescent="0.25">
      <c r="B14" t="s">
        <v>240</v>
      </c>
    </row>
    <row r="15" spans="1:6" x14ac:dyDescent="0.25">
      <c r="A15" s="1" t="s">
        <v>241</v>
      </c>
      <c r="B15" s="1"/>
      <c r="C15" s="1"/>
      <c r="D15" s="1"/>
      <c r="E15" s="1"/>
      <c r="F15" s="1"/>
    </row>
    <row r="16" spans="1:6" x14ac:dyDescent="0.25">
      <c r="A16" s="1" t="s">
        <v>16</v>
      </c>
      <c r="B16" s="1" t="s">
        <v>218</v>
      </c>
      <c r="C16" s="1" t="s">
        <v>242</v>
      </c>
      <c r="D16" s="1" t="s">
        <v>243</v>
      </c>
      <c r="E16" s="1" t="s">
        <v>244</v>
      </c>
      <c r="F16" s="1" t="s">
        <v>245</v>
      </c>
    </row>
    <row r="17" spans="1:6" x14ac:dyDescent="0.25">
      <c r="A17">
        <v>1</v>
      </c>
      <c r="B17" t="s">
        <v>223</v>
      </c>
      <c r="C17" t="s">
        <v>246</v>
      </c>
      <c r="D17" t="s">
        <v>246</v>
      </c>
      <c r="E17" t="s">
        <v>246</v>
      </c>
      <c r="F17" t="s">
        <v>246</v>
      </c>
    </row>
    <row r="18" spans="1:6" x14ac:dyDescent="0.25">
      <c r="A18">
        <v>2</v>
      </c>
      <c r="B18" t="s">
        <v>229</v>
      </c>
      <c r="C18" t="s">
        <v>246</v>
      </c>
      <c r="D18" t="s">
        <v>246</v>
      </c>
      <c r="E18" t="s">
        <v>246</v>
      </c>
      <c r="F18" t="s">
        <v>247</v>
      </c>
    </row>
    <row r="19" spans="1:6" x14ac:dyDescent="0.25">
      <c r="A19">
        <v>3</v>
      </c>
      <c r="B19" t="s">
        <v>236</v>
      </c>
      <c r="C19" t="s">
        <v>248</v>
      </c>
      <c r="D19" t="s">
        <v>249</v>
      </c>
      <c r="E19" t="s">
        <v>247</v>
      </c>
      <c r="F19" t="s">
        <v>247</v>
      </c>
    </row>
    <row r="20" spans="1:6" x14ac:dyDescent="0.25">
      <c r="A20">
        <v>4</v>
      </c>
      <c r="B20" t="s">
        <v>238</v>
      </c>
      <c r="C20" t="s">
        <v>250</v>
      </c>
      <c r="D20" t="s">
        <v>251</v>
      </c>
      <c r="E20" t="s">
        <v>252</v>
      </c>
      <c r="F20" t="s">
        <v>247</v>
      </c>
    </row>
    <row r="21" spans="1:6" x14ac:dyDescent="0.25">
      <c r="A21">
        <v>5</v>
      </c>
      <c r="B21" t="s">
        <v>253</v>
      </c>
      <c r="C21" t="s">
        <v>248</v>
      </c>
      <c r="D21" t="s">
        <v>247</v>
      </c>
      <c r="E21" t="s">
        <v>247</v>
      </c>
      <c r="F21" t="s">
        <v>247</v>
      </c>
    </row>
    <row r="23" spans="1:4" x14ac:dyDescent="0.25">
      <c r="A23" s="1" t="s">
        <v>254</v>
      </c>
      <c r="B23" s="1"/>
      <c r="C23" s="1"/>
      <c r="D23" s="1"/>
    </row>
    <row r="24" spans="1:4" x14ac:dyDescent="0.25">
      <c r="A24" s="1" t="s">
        <v>16</v>
      </c>
      <c r="B24" s="1" t="s">
        <v>225</v>
      </c>
      <c r="C24" s="1" t="s">
        <v>255</v>
      </c>
      <c r="D24" s="1" t="s">
        <v>256</v>
      </c>
    </row>
    <row r="25" spans="1:2" x14ac:dyDescent="0.25">
      <c r="A25" t="s">
        <v>9</v>
      </c>
      <c r="B25" t="s">
        <v>226</v>
      </c>
    </row>
    <row r="26" spans="1:2" x14ac:dyDescent="0.25">
      <c r="A26" t="s">
        <v>11</v>
      </c>
      <c r="B26" t="s">
        <v>230</v>
      </c>
    </row>
    <row r="27" spans="1:2" x14ac:dyDescent="0.25">
      <c r="A27" t="s">
        <v>25</v>
      </c>
      <c r="B27" t="s">
        <v>233</v>
      </c>
    </row>
    <row r="28" spans="1:2" x14ac:dyDescent="0.25">
      <c r="A28" t="s">
        <v>28</v>
      </c>
      <c r="B28" t="s">
        <v>237</v>
      </c>
    </row>
    <row r="29" spans="1:2" x14ac:dyDescent="0.25">
      <c r="A29" t="s">
        <v>30</v>
      </c>
      <c r="B29" t="s">
        <v>239</v>
      </c>
    </row>
  </sheetData>
  <mergeCells count="4">
    <mergeCell ref="A2:F2"/>
    <mergeCell ref="A6:F6"/>
    <mergeCell ref="A15:F15"/>
    <mergeCell ref="A23:D23"/>
  </mergeCells>
  <dataValidations count="2">
    <dataValidation type="list" allowBlank="1" sqref="F10:F12">
      <formula1>"Стопанин,Управител,Помощник Управител,Служител,Наблюдател"</formula1>
    </dataValidation>
    <dataValidation type="list" allowBlank="1" sqref="F8:F12">
      <formula1>"Стопанин,Управител,Помощник Управител,Служител,Наблюдател"</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7"/>
  <sheetViews>
    <sheetView workbookViewId="0">
      <pane ySplit="4" topLeftCell="A5" activePane="bottomLeft" state="frozen"/>
      <selection pane="bottomLeft"/>
    </sheetView>
  </sheetViews>
  <sheetFormatPr defaultRowHeight="15" outlineLevelRow="0" outlineLevelCol="0" x14ac:dyDescent="55"/>
  <cols>
    <col min="9" max="9" width="9" style="3" customWidth="1"/>
    <col min="10" max="10" width="9" style="3" customWidth="1"/>
    <col min="11" max="11" width="9" style="3" customWidth="1"/>
    <col min="12" max="12" width="9" style="3" customWidth="1"/>
    <col min="13" max="13" width="9" style="3" customWidth="1"/>
    <col min="14" max="14" width="9" style="3" customWidth="1"/>
    <col min="15" max="15" width="9" style="3" customWidth="1"/>
    <col min="16" max="16" width="9" style="3" customWidth="1"/>
    <col min="17" max="17" width="9" style="3" customWidth="1"/>
    <col min="18" max="18" width="9" style="3" customWidth="1"/>
    <col min="19" max="19" width="9" style="3" customWidth="1"/>
    <col min="20" max="20" width="9" style="3" customWidth="1"/>
  </cols>
  <sheetData>
    <row r="1" spans="1:20" x14ac:dyDescent="0.25">
      <c r="A1">
        <v>1</v>
      </c>
      <c r="B1" t="s">
        <v>257</v>
      </c>
      <c r="I1" s="3"/>
      <c r="J1" s="3"/>
      <c r="K1" s="3"/>
      <c r="L1" s="3"/>
      <c r="M1" s="3"/>
      <c r="N1" s="3"/>
      <c r="O1" s="3"/>
      <c r="P1" s="3"/>
      <c r="Q1" s="3"/>
      <c r="R1" s="3"/>
      <c r="S1" s="3"/>
      <c r="T1" s="3"/>
    </row>
    <row r="3" spans="1:20" x14ac:dyDescent="0.25">
      <c r="A3" s="5" t="s">
        <v>258</v>
      </c>
      <c r="B3" s="5"/>
      <c r="C3" s="5"/>
      <c r="D3" s="5"/>
      <c r="E3" s="5"/>
      <c r="F3" s="5"/>
      <c r="G3" s="5"/>
      <c r="H3" s="5"/>
      <c r="I3" s="5"/>
      <c r="J3" s="5"/>
      <c r="K3" s="5"/>
      <c r="L3" s="5"/>
      <c r="M3" s="5"/>
      <c r="N3" s="5"/>
      <c r="O3" s="5"/>
      <c r="P3" s="5"/>
      <c r="Q3" s="5"/>
      <c r="R3" s="5"/>
      <c r="S3" s="5"/>
      <c r="T3" s="5"/>
    </row>
    <row r="4" spans="1:20" x14ac:dyDescent="0.25">
      <c r="A4" s="1" t="s">
        <v>47</v>
      </c>
      <c r="B4" s="1" t="s">
        <v>3</v>
      </c>
      <c r="C4" s="1" t="s">
        <v>259</v>
      </c>
      <c r="D4" s="1" t="s">
        <v>260</v>
      </c>
      <c r="E4" s="1" t="s">
        <v>50</v>
      </c>
      <c r="F4" s="1" t="s">
        <v>261</v>
      </c>
      <c r="G4" s="1" t="s">
        <v>262</v>
      </c>
      <c r="H4" s="1" t="s">
        <v>263</v>
      </c>
      <c r="I4" s="5" t="s">
        <v>18</v>
      </c>
      <c r="J4" s="5" t="s">
        <v>264</v>
      </c>
      <c r="K4" s="5" t="s">
        <v>265</v>
      </c>
      <c r="L4" s="5" t="s">
        <v>266</v>
      </c>
      <c r="M4" s="5" t="s">
        <v>267</v>
      </c>
      <c r="N4" s="5" t="s">
        <v>268</v>
      </c>
      <c r="O4" s="5" t="s">
        <v>269</v>
      </c>
      <c r="P4" s="5" t="s">
        <v>270</v>
      </c>
      <c r="Q4" s="5" t="s">
        <v>271</v>
      </c>
      <c r="R4" s="5" t="s">
        <v>272</v>
      </c>
      <c r="S4" s="5" t="s">
        <v>273</v>
      </c>
      <c r="T4" s="5" t="s">
        <v>274</v>
      </c>
    </row>
    <row r="5" spans="1:20" x14ac:dyDescent="0.25">
      <c r="A5" t="s">
        <v>275</v>
      </c>
      <c r="B5" t="s">
        <v>276</v>
      </c>
      <c r="C5" t="s">
        <v>277</v>
      </c>
      <c r="D5" t="s">
        <v>278</v>
      </c>
      <c r="E5" t="s">
        <v>25</v>
      </c>
      <c r="H5">
        <v>84.5</v>
      </c>
      <c r="I5" s="3">
        <v>101400</v>
      </c>
      <c r="J5" s="3">
        <v>40000</v>
      </c>
      <c r="K5" s="3">
        <v>61400</v>
      </c>
      <c r="L5" s="3">
        <v>20000</v>
      </c>
      <c r="M5" s="3">
        <v>30000</v>
      </c>
      <c r="N5" s="3">
        <v>20000</v>
      </c>
      <c r="O5" s="3">
        <v>31400</v>
      </c>
      <c r="P5" s="3"/>
      <c r="Q5" s="3"/>
      <c r="R5" s="3"/>
      <c r="S5" s="3">
        <f>0.1+0.2-0.3</f>
        <v>5.551115123125783e-17</v>
      </c>
      <c r="T5" s="3">
        <v>0</v>
      </c>
    </row>
    <row r="6" spans="1:20" x14ac:dyDescent="0.25">
      <c r="A6" t="s">
        <v>279</v>
      </c>
      <c r="B6" t="s">
        <v>280</v>
      </c>
      <c r="C6" t="s">
        <v>281</v>
      </c>
      <c r="D6" t="s">
        <v>282</v>
      </c>
      <c r="F6" t="s">
        <v>96</v>
      </c>
      <c r="H6">
        <v>62.1</v>
      </c>
      <c r="I6" s="3">
        <v>74520</v>
      </c>
      <c r="J6" s="3">
        <v>30000</v>
      </c>
      <c r="K6" s="3">
        <v>44520</v>
      </c>
      <c r="L6" s="3">
        <v>15000</v>
      </c>
      <c r="M6" s="3">
        <v>22260</v>
      </c>
      <c r="N6" s="3">
        <v>15000</v>
      </c>
      <c r="O6" s="3">
        <v>22260</v>
      </c>
      <c r="P6" s="3"/>
      <c r="Q6" s="3"/>
      <c r="R6" s="3"/>
      <c r="S6" s="3">
        <v>0</v>
      </c>
      <c r="T6" s="3">
        <v>0</v>
      </c>
    </row>
    <row r="7" spans="1:20" x14ac:dyDescent="0.25">
      <c r="A7" t="s">
        <v>283</v>
      </c>
      <c r="C7" t="s">
        <v>284</v>
      </c>
      <c r="E7" t="s">
        <v>30</v>
      </c>
      <c r="G7" t="s">
        <v>11</v>
      </c>
      <c r="H7">
        <v>110</v>
      </c>
      <c r="I7" s="3">
        <v>132000</v>
      </c>
      <c r="J7" s="3">
        <v>60000</v>
      </c>
      <c r="K7" s="3">
        <v>72000</v>
      </c>
      <c r="L7" s="3">
        <v>30000</v>
      </c>
      <c r="M7" s="3">
        <v>36000</v>
      </c>
      <c r="N7" s="3">
        <v>30000</v>
      </c>
      <c r="O7" s="3">
        <v>36000</v>
      </c>
      <c r="P7" s="3"/>
      <c r="Q7" s="3"/>
      <c r="R7" s="3"/>
      <c r="S7" s="3">
        <v>0</v>
      </c>
      <c r="T7" s="3">
        <v>0</v>
      </c>
    </row>
    <row r="8" spans="1:20" x14ac:dyDescent="0.25">
      <c r="A8" t="s">
        <v>285</v>
      </c>
      <c r="B8" t="s">
        <v>286</v>
      </c>
      <c r="C8" t="s">
        <v>287</v>
      </c>
      <c r="D8" t="s">
        <v>288</v>
      </c>
      <c r="F8" t="s">
        <v>106</v>
      </c>
      <c r="H8">
        <v>45.3</v>
      </c>
      <c r="I8" s="3">
        <v>54360</v>
      </c>
      <c r="J8" s="3">
        <v>20000</v>
      </c>
      <c r="K8" s="3">
        <v>34360</v>
      </c>
      <c r="L8" s="3">
        <v>10000</v>
      </c>
      <c r="M8" s="3">
        <v>17180</v>
      </c>
      <c r="N8" s="3">
        <v>10000</v>
      </c>
      <c r="O8" s="3">
        <v>17180</v>
      </c>
      <c r="P8" s="3"/>
      <c r="Q8" s="3"/>
      <c r="R8" s="3"/>
      <c r="S8" s="3">
        <v>0</v>
      </c>
      <c r="T8" s="3">
        <v>0</v>
      </c>
    </row>
    <row r="9" spans="1:20" x14ac:dyDescent="0.25">
      <c r="A9" t="s">
        <v>289</v>
      </c>
      <c r="B9" t="s">
        <v>290</v>
      </c>
      <c r="C9" t="s">
        <v>291</v>
      </c>
      <c r="D9" t="s">
        <v>292</v>
      </c>
      <c r="H9">
        <v>30.2</v>
      </c>
      <c r="I9" s="3">
        <v>27180</v>
      </c>
      <c r="J9" s="3">
        <v>6000</v>
      </c>
      <c r="K9" s="3">
        <v>21180</v>
      </c>
      <c r="L9" s="3">
        <v>3000</v>
      </c>
      <c r="M9" s="3">
        <v>10590</v>
      </c>
      <c r="N9" s="3">
        <v>3000</v>
      </c>
      <c r="O9" s="3">
        <v>10590</v>
      </c>
      <c r="P9" s="3"/>
      <c r="Q9" s="3"/>
      <c r="R9" s="3"/>
      <c r="S9" s="3">
        <v>0</v>
      </c>
      <c r="T9" s="3">
        <v>0</v>
      </c>
    </row>
    <row r="10" spans="1:20" x14ac:dyDescent="0.25">
      <c r="A10" t="s">
        <v>293</v>
      </c>
      <c r="C10" t="s">
        <v>294</v>
      </c>
      <c r="H10">
        <v>12.5</v>
      </c>
      <c r="I10" s="3">
        <v>7500</v>
      </c>
      <c r="J10" s="3">
        <v>7500</v>
      </c>
      <c r="K10" s="3">
        <v>0</v>
      </c>
      <c r="L10" s="3">
        <v>7500</v>
      </c>
      <c r="M10" s="3"/>
      <c r="N10" s="3"/>
      <c r="O10" s="3"/>
      <c r="P10" s="3"/>
      <c r="Q10" s="3"/>
      <c r="R10" s="3"/>
      <c r="S10" s="3">
        <v>0</v>
      </c>
      <c r="T10" s="3">
        <v>0</v>
      </c>
    </row>
    <row r="58" spans="1:20" x14ac:dyDescent="0.25">
      <c r="A58" t="s">
        <v>295</v>
      </c>
      <c r="B58"/>
      <c r="C58"/>
      <c r="D58"/>
      <c r="E58"/>
      <c r="F58"/>
      <c r="G58"/>
      <c r="H58">
        <f>SUM(H5:H57)</f>
        <v>344.6</v>
      </c>
      <c r="I58" s="3">
        <f>SUM(I5:I57)</f>
        <v>396960</v>
      </c>
      <c r="J58" s="3">
        <f>SUM(J5:J57)</f>
        <v>163500</v>
      </c>
      <c r="K58" s="3">
        <f>SUM(K5:K57)</f>
        <v>233460</v>
      </c>
      <c r="L58" s="3">
        <f>SUM(L5:L57)</f>
        <v>85500</v>
      </c>
      <c r="M58" s="3">
        <f>SUM(M5:M57)</f>
        <v>116030</v>
      </c>
      <c r="N58" s="3">
        <f>SUM(N5:N57)</f>
        <v>78000</v>
      </c>
      <c r="O58" s="3">
        <f>SUM(O5:O57)</f>
        <v>117430</v>
      </c>
      <c r="P58" s="3">
        <f>SUM(P5:P57)</f>
        <v>0</v>
      </c>
      <c r="Q58" s="3">
        <f>SUM(Q5:Q57)</f>
        <v>0</v>
      </c>
      <c r="R58" s="3">
        <f>SUM(R5:R57)</f>
        <v>0</v>
      </c>
      <c r="S58" s="3">
        <f>SUM(S5:S57)</f>
        <v>0</v>
      </c>
      <c r="T58" s="3"/>
    </row>
    <row r="60" spans="1:20" x14ac:dyDescent="0.25">
      <c r="A60" s="5" t="s">
        <v>296</v>
      </c>
      <c r="B60" s="5"/>
      <c r="C60" s="5"/>
      <c r="D60" s="5"/>
      <c r="E60" s="5"/>
      <c r="F60" s="5"/>
      <c r="G60" s="5"/>
      <c r="H60" s="5"/>
      <c r="I60" s="5"/>
      <c r="J60" s="5"/>
      <c r="K60" s="5"/>
      <c r="L60" s="5"/>
      <c r="M60" s="5"/>
      <c r="N60" s="5"/>
      <c r="O60" s="5"/>
      <c r="P60" s="5"/>
      <c r="Q60" s="5"/>
      <c r="R60" s="5"/>
      <c r="S60" s="5"/>
      <c r="T60" s="5"/>
    </row>
    <row r="61" spans="1:20" x14ac:dyDescent="0.25">
      <c r="A61" s="1" t="s">
        <v>47</v>
      </c>
      <c r="B61" s="1" t="s">
        <v>3</v>
      </c>
      <c r="C61" s="1" t="s">
        <v>259</v>
      </c>
      <c r="D61" s="1" t="s">
        <v>260</v>
      </c>
      <c r="E61" s="1" t="s">
        <v>50</v>
      </c>
      <c r="F61" s="1" t="s">
        <v>261</v>
      </c>
      <c r="G61" s="1" t="s">
        <v>262</v>
      </c>
      <c r="H61" s="1" t="s">
        <v>263</v>
      </c>
      <c r="I61" s="5" t="s">
        <v>297</v>
      </c>
      <c r="J61" s="5" t="s">
        <v>18</v>
      </c>
      <c r="K61" s="5" t="s">
        <v>264</v>
      </c>
      <c r="L61" s="5" t="s">
        <v>265</v>
      </c>
      <c r="M61" s="5" t="s">
        <v>266</v>
      </c>
      <c r="N61" s="5" t="s">
        <v>298</v>
      </c>
      <c r="O61" s="5" t="s">
        <v>268</v>
      </c>
      <c r="P61" s="5" t="s">
        <v>299</v>
      </c>
      <c r="Q61" s="5" t="s">
        <v>300</v>
      </c>
      <c r="R61" s="5" t="s">
        <v>301</v>
      </c>
      <c r="S61" s="5" t="s">
        <v>273</v>
      </c>
      <c r="T61" s="5" t="s">
        <v>274</v>
      </c>
    </row>
    <row r="62" spans="1:20" x14ac:dyDescent="0.25">
      <c r="A62" t="s">
        <v>302</v>
      </c>
      <c r="B62" t="s">
        <v>303</v>
      </c>
      <c r="C62" t="s">
        <v>304</v>
      </c>
      <c r="D62" t="s">
        <v>305</v>
      </c>
      <c r="H62">
        <v>63.31</v>
      </c>
      <c r="I62" s="3">
        <v>2000</v>
      </c>
      <c r="J62" s="3">
        <v>126620</v>
      </c>
      <c r="K62" s="3">
        <v>50000</v>
      </c>
      <c r="L62" s="3">
        <v>76620</v>
      </c>
      <c r="M62" s="3">
        <v>25000</v>
      </c>
      <c r="N62" s="3">
        <v>38310</v>
      </c>
      <c r="O62" s="3">
        <v>25000</v>
      </c>
      <c r="P62" s="3">
        <v>38310</v>
      </c>
      <c r="Q62" s="3"/>
      <c r="R62" s="3"/>
      <c r="S62" s="3">
        <v>0</v>
      </c>
      <c r="T62" s="3">
        <v>0</v>
      </c>
    </row>
    <row r="63" spans="1:20" x14ac:dyDescent="0.25">
      <c r="A63" t="s">
        <v>306</v>
      </c>
      <c r="B63" t="s">
        <v>307</v>
      </c>
      <c r="C63" t="s">
        <v>308</v>
      </c>
      <c r="D63" t="s">
        <v>309</v>
      </c>
      <c r="H63">
        <v>34.2</v>
      </c>
      <c r="I63" s="3">
        <v>1800</v>
      </c>
      <c r="J63" s="3">
        <v>61560</v>
      </c>
      <c r="K63" s="3">
        <v>20000</v>
      </c>
      <c r="L63" s="3">
        <v>41560</v>
      </c>
      <c r="M63" s="3">
        <v>10000</v>
      </c>
      <c r="N63" s="3">
        <v>20780</v>
      </c>
      <c r="O63" s="3">
        <v>10000</v>
      </c>
      <c r="P63" s="3">
        <v>20780</v>
      </c>
      <c r="Q63" s="3"/>
      <c r="R63" s="3"/>
      <c r="S63" s="3">
        <v>0</v>
      </c>
      <c r="T63" s="3">
        <v>0</v>
      </c>
    </row>
    <row r="64" spans="1:20" x14ac:dyDescent="0.25">
      <c r="A64" t="s">
        <v>310</v>
      </c>
      <c r="C64" t="s">
        <v>311</v>
      </c>
      <c r="E64" t="s">
        <v>102</v>
      </c>
      <c r="H64">
        <v>62.1</v>
      </c>
      <c r="I64" s="3">
        <v>2100</v>
      </c>
      <c r="J64" s="3">
        <v>130410</v>
      </c>
      <c r="K64" s="3">
        <v>60000</v>
      </c>
      <c r="L64" s="3">
        <v>70410</v>
      </c>
      <c r="M64" s="3">
        <v>30000</v>
      </c>
      <c r="N64" s="3">
        <v>35205</v>
      </c>
      <c r="O64" s="3">
        <v>30000</v>
      </c>
      <c r="P64" s="3">
        <v>35205</v>
      </c>
      <c r="Q64" s="3"/>
      <c r="R64" s="3"/>
      <c r="S64" s="3">
        <v>0</v>
      </c>
      <c r="T64" s="3">
        <v>0</v>
      </c>
    </row>
    <row r="65" spans="1:20" x14ac:dyDescent="0.25">
      <c r="A65" t="s">
        <v>312</v>
      </c>
      <c r="B65" t="s">
        <v>313</v>
      </c>
      <c r="C65" t="s">
        <v>314</v>
      </c>
      <c r="D65" t="s">
        <v>315</v>
      </c>
      <c r="E65" t="s">
        <v>25</v>
      </c>
      <c r="H65">
        <v>19.54</v>
      </c>
      <c r="I65" s="3">
        <v>1700</v>
      </c>
      <c r="J65" s="3">
        <v>33218</v>
      </c>
      <c r="K65" s="3">
        <v>16609</v>
      </c>
      <c r="L65" s="3">
        <v>16609</v>
      </c>
      <c r="M65" s="3">
        <v>8300</v>
      </c>
      <c r="N65" s="3">
        <v>8304.5</v>
      </c>
      <c r="O65" s="3">
        <v>8309</v>
      </c>
      <c r="P65" s="3">
        <v>8304.5</v>
      </c>
      <c r="Q65" s="3"/>
      <c r="R65" s="3"/>
      <c r="S65" s="3">
        <v>0</v>
      </c>
      <c r="T65" s="3">
        <v>0</v>
      </c>
    </row>
    <row r="66" spans="1:20" x14ac:dyDescent="0.25">
      <c r="A66" t="s">
        <v>316</v>
      </c>
      <c r="C66" t="s">
        <v>317</v>
      </c>
      <c r="H66">
        <v>61.95</v>
      </c>
      <c r="I66" s="3">
        <v>2700</v>
      </c>
      <c r="J66" s="3">
        <v>167265</v>
      </c>
      <c r="K66" s="3">
        <v>70000</v>
      </c>
      <c r="L66" s="3">
        <v>97265</v>
      </c>
      <c r="M66" s="3">
        <v>35000</v>
      </c>
      <c r="N66" s="3">
        <v>48632.5</v>
      </c>
      <c r="O66" s="3">
        <v>35000</v>
      </c>
      <c r="P66" s="3">
        <v>48632.5</v>
      </c>
      <c r="Q66" s="3"/>
      <c r="R66" s="3"/>
      <c r="S66" s="3">
        <v>0</v>
      </c>
      <c r="T66" s="3">
        <v>0</v>
      </c>
    </row>
    <row r="77" spans="1:20" x14ac:dyDescent="0.25">
      <c r="A77" t="s">
        <v>295</v>
      </c>
      <c r="B77"/>
      <c r="C77"/>
      <c r="D77"/>
      <c r="E77"/>
      <c r="F77"/>
      <c r="G77"/>
      <c r="H77">
        <f>SUM(H62:H76)</f>
        <v>241.1</v>
      </c>
      <c r="I77" s="3">
        <f>SUM(I62:I76)</f>
        <v>10300</v>
      </c>
      <c r="J77" s="3">
        <f>SUM(J62:J76)</f>
        <v>519073</v>
      </c>
      <c r="K77" s="3">
        <f>SUM(K62:K76)</f>
        <v>216609</v>
      </c>
      <c r="L77" s="3">
        <f>SUM(L62:L76)</f>
        <v>302464</v>
      </c>
      <c r="M77" s="3">
        <f>SUM(M62:M76)</f>
        <v>108300</v>
      </c>
      <c r="N77" s="3">
        <f>SUM(N62:N76)</f>
        <v>151232</v>
      </c>
      <c r="O77" s="3">
        <f>SUM(O62:O76)</f>
        <v>108309</v>
      </c>
      <c r="P77" s="3">
        <f>SUM(P62:P76)</f>
        <v>151232</v>
      </c>
      <c r="Q77" s="3">
        <f>SUM(Q62:Q76)</f>
        <v>0</v>
      </c>
      <c r="R77" s="3">
        <f>SUM(R62:R76)</f>
        <v>0</v>
      </c>
      <c r="S77" s="3">
        <f>SUM(S62:S76)</f>
        <v>0</v>
      </c>
      <c r="T77" s="3">
        <f>SUM(T62:T76)</f>
        <v>0</v>
      </c>
    </row>
  </sheetData>
  <mergeCells count="5">
    <mergeCell ref="A3:T3"/>
    <mergeCell ref="A58:G58"/>
    <mergeCell ref="S58:T58"/>
    <mergeCell ref="A60:T60"/>
    <mergeCell ref="A77:G7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
  <sheetFormatPr defaultRowHeight="15" outlineLevelRow="0" outlineLevelCol="0" x14ac:dyDescent="55"/>
  <sheetData>
    <row r="2" spans="1:2" x14ac:dyDescent="0.25">
      <c r="A2">
        <v>1</v>
      </c>
      <c r="B2" t="s">
        <v>318</v>
      </c>
    </row>
    <row r="3" spans="1:2" x14ac:dyDescent="0.25">
      <c r="A3">
        <v>2</v>
      </c>
      <c r="B3" t="s">
        <v>319</v>
      </c>
    </row>
    <row r="4" spans="1:2" x14ac:dyDescent="0.25">
      <c r="A4">
        <v>3</v>
      </c>
      <c r="B4" t="s">
        <v>320</v>
      </c>
    </row>
    <row r="5" spans="1:2" x14ac:dyDescent="0.25">
      <c r="A5">
        <v>4</v>
      </c>
      <c r="B5" t="s">
        <v>321</v>
      </c>
    </row>
    <row r="6" spans="1:7" x14ac:dyDescent="0.25">
      <c r="A6" s="1" t="s">
        <v>322</v>
      </c>
      <c r="B6" s="1"/>
      <c r="C6" s="1"/>
      <c r="D6" s="1"/>
      <c r="E6" s="1"/>
      <c r="F6" s="1"/>
      <c r="G6" s="1"/>
    </row>
    <row r="7" spans="1:7" x14ac:dyDescent="0.25">
      <c r="A7" s="1" t="s">
        <v>16</v>
      </c>
      <c r="B7" s="1" t="s">
        <v>323</v>
      </c>
      <c r="C7" s="1" t="s">
        <v>5</v>
      </c>
      <c r="D7" s="1" t="s">
        <v>324</v>
      </c>
      <c r="E7" s="1" t="s">
        <v>325</v>
      </c>
      <c r="F7" s="1" t="s">
        <v>326</v>
      </c>
      <c r="G7" s="1" t="s">
        <v>327</v>
      </c>
    </row>
    <row r="8" spans="1:4" x14ac:dyDescent="0.25">
      <c r="A8">
        <v>1</v>
      </c>
      <c r="B8" t="s">
        <v>328</v>
      </c>
      <c r="C8" t="s">
        <v>329</v>
      </c>
      <c r="D8" t="s">
        <v>330</v>
      </c>
    </row>
    <row r="9" spans="1:4" x14ac:dyDescent="0.25">
      <c r="A9">
        <v>2</v>
      </c>
      <c r="B9" t="s">
        <v>331</v>
      </c>
      <c r="C9" t="s">
        <v>332</v>
      </c>
      <c r="D9" t="s">
        <v>333</v>
      </c>
    </row>
    <row r="10" spans="1:4" x14ac:dyDescent="0.25">
      <c r="A10">
        <v>3</v>
      </c>
      <c r="B10" t="s">
        <v>334</v>
      </c>
      <c r="C10" t="s">
        <v>335</v>
      </c>
      <c r="D10" t="s">
        <v>336</v>
      </c>
    </row>
    <row r="11" spans="1:4" x14ac:dyDescent="0.25">
      <c r="A11">
        <v>4</v>
      </c>
      <c r="B11" t="s">
        <v>337</v>
      </c>
      <c r="C11" t="s">
        <v>338</v>
      </c>
      <c r="D11" t="s">
        <v>339</v>
      </c>
    </row>
    <row r="12" spans="1:4" x14ac:dyDescent="0.25">
      <c r="A12">
        <v>5</v>
      </c>
      <c r="B12" t="s">
        <v>337</v>
      </c>
      <c r="C12" t="s">
        <v>340</v>
      </c>
      <c r="D12" t="s">
        <v>341</v>
      </c>
    </row>
    <row r="13" spans="1:7" x14ac:dyDescent="0.25">
      <c r="A13" s="1" t="s">
        <v>342</v>
      </c>
      <c r="B13" s="1"/>
      <c r="C13" s="1"/>
      <c r="D13" s="1"/>
      <c r="E13" s="1"/>
      <c r="F13" s="1"/>
      <c r="G13" s="1"/>
    </row>
    <row r="14" spans="1:7" x14ac:dyDescent="0.25">
      <c r="A14" s="1" t="s">
        <v>16</v>
      </c>
      <c r="B14" s="1" t="s">
        <v>323</v>
      </c>
      <c r="C14" s="1" t="s">
        <v>5</v>
      </c>
      <c r="D14" s="1" t="s">
        <v>324</v>
      </c>
      <c r="E14" s="1" t="s">
        <v>325</v>
      </c>
      <c r="F14" s="1" t="s">
        <v>326</v>
      </c>
      <c r="G14" s="1" t="s">
        <v>327</v>
      </c>
    </row>
  </sheetData>
  <mergeCells count="2">
    <mergeCell ref="A6:G6"/>
    <mergeCell ref="A13:G1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sheetData>
    <row r="1" spans="1:1" x14ac:dyDescent="0.25">
      <c r="A1" s="1" t="s">
        <v>16</v>
      </c>
    </row>
    <row r="2" spans="1:2" x14ac:dyDescent="0.25">
      <c r="A2">
        <v>1</v>
      </c>
      <c r="B2" t="s">
        <v>343</v>
      </c>
    </row>
    <row r="3" spans="1:2" x14ac:dyDescent="0.25">
      <c r="A3">
        <v>2</v>
      </c>
      <c r="B3" t="s">
        <v>344</v>
      </c>
    </row>
    <row r="4" spans="1:2" x14ac:dyDescent="0.25">
      <c r="A4">
        <v>3</v>
      </c>
      <c r="B4" t="s">
        <v>345</v>
      </c>
    </row>
    <row r="5" spans="1:2" x14ac:dyDescent="0.25">
      <c r="A5">
        <v>4</v>
      </c>
      <c r="B5" t="s">
        <v>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Профил</vt:lpstr>
      <vt:lpstr>ИмотиОбектиБизнеси</vt:lpstr>
      <vt:lpstr>УправлениеДелаПреписки</vt:lpstr>
      <vt:lpstr>Сметки</vt:lpstr>
      <vt:lpstr>Служители</vt:lpstr>
      <vt:lpstr>Продажби</vt:lpstr>
      <vt:lpstr>ИИ</vt:lpstr>
      <vt:lpstr>Настройки(Стопанин)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Coretovia</dc:creator>
  <dc:title/>
  <dc:subject/>
  <dc:description/>
  <cp:keywords/>
  <cp:category/>
  <cp:lastModifiedBy>Unknown</cp:lastModifiedBy>
  <dcterms:created xsi:type="dcterms:W3CDTF">2026-09-05T04:04:32Z</dcterms:created>
  <dcterms:modified xsi:type="dcterms:W3CDTF">2026-09-05T04:04:32Z</dcterms:modified>
</cp:coreProperties>
</file>